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  <sheet state="visible" name="Sprint 5" sheetId="6" r:id="rId9"/>
    <sheet state="visible" name="Sprint 6" sheetId="7" r:id="rId10"/>
  </sheets>
  <definedNames/>
  <calcPr/>
  <extLst>
    <ext uri="GoogleSheetsCustomDataVersion2">
      <go:sheetsCustomData xmlns:go="http://customooxmlschemas.google.com/" r:id="rId11" roundtripDataChecksum="0N4GejiaGZ8s3yBeVmHcQFA165suQjU6PKUghtn6LI4="/>
    </ext>
  </extLst>
</workbook>
</file>

<file path=xl/sharedStrings.xml><?xml version="1.0" encoding="utf-8"?>
<sst xmlns="http://schemas.openxmlformats.org/spreadsheetml/2006/main" count="356" uniqueCount="183">
  <si>
    <t>Historial — Control de todos los Sprints (LicitaWatch)</t>
  </si>
  <si>
    <t>01/09</t>
  </si>
  <si>
    <t>02/09</t>
  </si>
  <si>
    <t>03/09</t>
  </si>
  <si>
    <t>04/09</t>
  </si>
  <si>
    <t>07/09</t>
  </si>
  <si>
    <t>08/09</t>
  </si>
  <si>
    <t>09/09</t>
  </si>
  <si>
    <t>10/09</t>
  </si>
  <si>
    <t>11/09</t>
  </si>
  <si>
    <t>14/09</t>
  </si>
  <si>
    <t>15/09</t>
  </si>
  <si>
    <t>16/09</t>
  </si>
  <si>
    <t>17/09</t>
  </si>
  <si>
    <t>21/09</t>
  </si>
  <si>
    <t>22/09</t>
  </si>
  <si>
    <t>23/09</t>
  </si>
  <si>
    <t>24/09</t>
  </si>
  <si>
    <t>25/09</t>
  </si>
  <si>
    <t>26/09</t>
  </si>
  <si>
    <t>28/09</t>
  </si>
  <si>
    <t>29/09</t>
  </si>
  <si>
    <t>30/09</t>
  </si>
  <si>
    <t>01/10</t>
  </si>
  <si>
    <t>02/10</t>
  </si>
  <si>
    <t>05/10</t>
  </si>
  <si>
    <t>06/10</t>
  </si>
  <si>
    <t>07/10</t>
  </si>
  <si>
    <t>08/10</t>
  </si>
  <si>
    <t>09/10</t>
  </si>
  <si>
    <t>13/10</t>
  </si>
  <si>
    <t>14/10</t>
  </si>
  <si>
    <t>15/10</t>
  </si>
  <si>
    <t>16/10</t>
  </si>
  <si>
    <t>19/10</t>
  </si>
  <si>
    <t>20/10</t>
  </si>
  <si>
    <t>21/10</t>
  </si>
  <si>
    <t>22/10</t>
  </si>
  <si>
    <t>23/10</t>
  </si>
  <si>
    <t>26/10</t>
  </si>
  <si>
    <t>27/10</t>
  </si>
  <si>
    <t>28/10</t>
  </si>
  <si>
    <t>29/10</t>
  </si>
  <si>
    <t>30/10</t>
  </si>
  <si>
    <t>02/11</t>
  </si>
  <si>
    <t>03/11</t>
  </si>
  <si>
    <t>04/11</t>
  </si>
  <si>
    <t>05/11</t>
  </si>
  <si>
    <t>06/11</t>
  </si>
  <si>
    <t>09/11</t>
  </si>
  <si>
    <t>10/11</t>
  </si>
  <si>
    <t>11/11</t>
  </si>
  <si>
    <t>12/11</t>
  </si>
  <si>
    <t>13/11</t>
  </si>
  <si>
    <t>16/11</t>
  </si>
  <si>
    <t>17/11</t>
  </si>
  <si>
    <t>18/11</t>
  </si>
  <si>
    <t>19/11</t>
  </si>
  <si>
    <t>20/11</t>
  </si>
  <si>
    <t>Tareas</t>
  </si>
  <si>
    <t>Horas estimadas</t>
  </si>
  <si>
    <t>Sprint 1</t>
  </si>
  <si>
    <t>Sprint 2</t>
  </si>
  <si>
    <t>Sprint 3</t>
  </si>
  <si>
    <t>Sprint 4</t>
  </si>
  <si>
    <t>Sprint 5</t>
  </si>
  <si>
    <t>Sprint 6</t>
  </si>
  <si>
    <t>Total</t>
  </si>
  <si>
    <t>E1-H1 T1: La Pyme se registra correctamente — Pablo</t>
  </si>
  <si>
    <t>E1-H1 T2: La Pyme ingresa un RUT inválido — Pablo</t>
  </si>
  <si>
    <t>E1-H1 T3: La Pyme no completó todos los campos obligatorios — Pablo</t>
  </si>
  <si>
    <t>E1-H1 T4: El correo ingresado ya está registrado — Pablo</t>
  </si>
  <si>
    <t>E2-H2 T1: La Pyme ingresa correctamente — Gonzalo</t>
  </si>
  <si>
    <t>E2-H2 T2: La Pyme ingresa credenciales incorrectas — Gonzalo</t>
  </si>
  <si>
    <t>E2-H2 T3: La Pyme olvidó su contraseña — Gonzalo</t>
  </si>
  <si>
    <t>E8-H8 T1: El Licitador se registra correctamente — Daniel</t>
  </si>
  <si>
    <t>E8-H8 T2: El Licitador ingresa un RUT ya registrado — Daniel</t>
  </si>
  <si>
    <t>E8-H8 T3: El Licitador no completó todos los campos — Daniel</t>
  </si>
  <si>
    <t>E9-H9 T1: El Licitador ingresa correctamente — Daniel</t>
  </si>
  <si>
    <t>E9-H9 T2: El Licitador ingresa credenciales incorrectas — Daniel</t>
  </si>
  <si>
    <t>E9-H9 T3: El Licitador olvidó su contraseña — Daniel</t>
  </si>
  <si>
    <t>E3-H3 T1: La Pyme ve el listado de licitaciones — Pablo</t>
  </si>
  <si>
    <t>E3-H3 T2: La Pyme filtra por rubro y monto — Pablo</t>
  </si>
  <si>
    <t>E3-H3 T3: No hay licitaciones que cumplan los filtros — Pablo</t>
  </si>
  <si>
    <t>E3-H3 T4: La búsqueda falla por un error de conexión — Pablo</t>
  </si>
  <si>
    <t>E10-H10 T1: El Licitador pública la licitación correctamente — Daniel</t>
  </si>
  <si>
    <t>E10-H10 T2: El Licitador edita una licitación ya publicada — Daniel</t>
  </si>
  <si>
    <t>E10-H10 T3: El Licitador intenta publicar sin fecha de cierre — Daniel</t>
  </si>
  <si>
    <t>E10-H10 T4: El Licitador cierra una licitación manualmente — Daniel</t>
  </si>
  <si>
    <t>E4-H4 T1: La Pyme postula correctamente — Gonzalo</t>
  </si>
  <si>
    <t>E4-H4 T2: La Pyme intenta postular a una licitación cerrada — Gonzalo</t>
  </si>
  <si>
    <t>E4-H4 T3: La Pyme postula sin un plan de suscripción activo — Gonzalo</t>
  </si>
  <si>
    <t>E11-H11 T1: El Licitador ve el listado de postulantes — Pablo</t>
  </si>
  <si>
    <t>E11-H11 T2: El Licitador selecciona a una Pyme — Pablo</t>
  </si>
  <si>
    <t>E11-H11 T3: La licitación no tiene postulaciones — Pablo</t>
  </si>
  <si>
    <t>E5-H5 T1: La Pyme ve el listado de sus postulaciones — Daniel</t>
  </si>
  <si>
    <t>E5-H5 T2: La Pyme es seleccionada por el Licitador — Daniel</t>
  </si>
  <si>
    <t>E5-H5 T3: La Pyme no tiene postulaciones registradas — Daniel</t>
  </si>
  <si>
    <t>E12-H12 T1: El equipo de desarrollo habilita la cuenta del Administrador — Pablo</t>
  </si>
  <si>
    <t>E12-H12 T2: El Administrador inicia sesión correctamente — Pablo</t>
  </si>
  <si>
    <t>E12-H12 T3: El Administrador ingresa credenciales incorrectas — Pablo</t>
  </si>
  <si>
    <t>E13-H13 T1: El Administrador visualiza el listado de usuarios — Gonzalo</t>
  </si>
  <si>
    <t>E13-H13 T2: El Administrador modera una licitación reportada — Gonzalo</t>
  </si>
  <si>
    <t>E13-H13 T3: El Administrador revisa el registro de ventas — Gonzalo</t>
  </si>
  <si>
    <t>E6-H6 T1: La Pyme elige un plan disponible — Pablo</t>
  </si>
  <si>
    <t>E6-H6 T2: El pago se confirma exitosamente — Pablo</t>
  </si>
  <si>
    <t>E6-H6 T3: El pago es rechazado — Pablo</t>
  </si>
  <si>
    <t>E4-H17 T1: El Licitador adjunta un documento correctamente — Daniel</t>
  </si>
  <si>
    <t>E4-H17 T2: El Licitador intenta adjuntar un archivo no permitido — Daniel</t>
  </si>
  <si>
    <t>E4-H17 T3: El archivo supera el tamaño permitido — Daniel</t>
  </si>
  <si>
    <t>E6-H18 T1: Visualizar plan actual — Gonzalo</t>
  </si>
  <si>
    <t>E6-H18 T2: Visualizar características — Gonzalo</t>
  </si>
  <si>
    <t>E6-H18 T3: Consultar vigencia y/o estado — Gonzalo</t>
  </si>
  <si>
    <t>E7-H7 T1: La Pyme realiza una consulta a LicitAsist — Pablo</t>
  </si>
  <si>
    <t>E7-H7 T2: LicitAsist no puede responder por límite de uso alcanzado — Pablo</t>
  </si>
  <si>
    <t>E14-H14 T1: Se notifica la publicación de una nueva licitación relevante — Daniel</t>
  </si>
  <si>
    <t>E14-H14 T2: Se notifica la recepción de una nueva postulación — Daniel</t>
  </si>
  <si>
    <t>E14-H14 T3: Se notifica la confirmación de un pago — Daniel</t>
  </si>
  <si>
    <t>E15-H15 T1: Se abre automáticamente la conversación al adjudicar la licitación — Gonzalo</t>
  </si>
  <si>
    <t>E15-H15 T2: La Pyme y el Licitador intercambian mensajes — Gonzalo</t>
  </si>
  <si>
    <t>E15-H15 T3: Un usuario ajeno intenta acceder a la conversación — Gonzalo</t>
  </si>
  <si>
    <t>E16-H16 T1: El usuario actualiza sus datos correctamente — Pablo</t>
  </si>
  <si>
    <t>E16-H16 T2: El usuario deja un campo obligatorio vacío o inválido — Pablo</t>
  </si>
  <si>
    <t>E16-H16 T3: El usuario intenta modificar un dato protegido — Pablo</t>
  </si>
  <si>
    <t>Horas Estimadas de producto por realizar</t>
  </si>
  <si>
    <t>Horas capacidad de trabajo</t>
  </si>
  <si>
    <t>Horas Reales de producto por realizar</t>
  </si>
  <si>
    <t>Línea Ideal (Horas estimadas de producto por realizar)</t>
  </si>
  <si>
    <t>Leyenda de colores por Sprint</t>
  </si>
  <si>
    <t>9 días / 64 h</t>
  </si>
  <si>
    <t>10 días / 80 h</t>
  </si>
  <si>
    <t>9 días / 112 h</t>
  </si>
  <si>
    <t>10 días / 104 h</t>
  </si>
  <si>
    <t>10 días / 160 h</t>
  </si>
  <si>
    <t>Capacidad de trabajo</t>
  </si>
  <si>
    <t>3 personas × 8 h diarias (9 h − 1 h de colación) = 24 h por día · 58 días hábiles = 1392 h</t>
  </si>
  <si>
    <t>Las horas diarias por tarea corresponden al plan de las daily meetings; se reemplazan por las horas reales registradas a medida que avanza cada sprint.</t>
  </si>
  <si>
    <t>Control del Sprint 1 — 9 días hábiles (01-09-2026 al 11-09-2026)</t>
  </si>
  <si>
    <t>DÍA</t>
  </si>
  <si>
    <t>E1-H1 T2: La Pyme ingresa un RUT inválido — Daniel</t>
  </si>
  <si>
    <t>E1-H1 T4: El correo ingresado ya está registrado — Gonzalo</t>
  </si>
  <si>
    <t>E2-H2 T2: La Pyme ingresa credenciales incorrectas — Daniel</t>
  </si>
  <si>
    <t>E8-H8 T2: El Licitador ingresa un RUT ya registrado — Pablo</t>
  </si>
  <si>
    <t>E8-H8 T3: El Licitador no completó todos los campos — Gonzalo</t>
  </si>
  <si>
    <t>E9-H9 T3: El Licitador olvidó su contraseña — Pablo</t>
  </si>
  <si>
    <t>Capacidad de Trabajo</t>
  </si>
  <si>
    <t>3 Personas</t>
  </si>
  <si>
    <t>8 Horas diarias por persona (9h − 1h colación)</t>
  </si>
  <si>
    <t>24 horas por día</t>
  </si>
  <si>
    <t>9 días hábiles = 216 horas</t>
  </si>
  <si>
    <t>Las horas diarias corresponden al plan de las daily meetings; se reemplazan por las horas reales a medida que avanza el sprint.</t>
  </si>
  <si>
    <t>Control del Sprint 2 — 10 días hábiles (14-09-2026 al 26-09-2026)</t>
  </si>
  <si>
    <t>E3-H3 T2: La Pyme filtra por rubro y monto — Gonzalo</t>
  </si>
  <si>
    <t>E3-H3 T4: La búsqueda falla por un error de conexión — Daniel</t>
  </si>
  <si>
    <t>E10-H10 T2: El Licitador edita una licitación ya publicada — Gonzalo</t>
  </si>
  <si>
    <t>E10-H10 T4: El Licitador cierra una licitación manualmente — Pablo</t>
  </si>
  <si>
    <t>10 días hábiles = 240 horas</t>
  </si>
  <si>
    <t>Nota: el 18-09 fue feriado (Fiestas Patrias) y no se trabajó; el sábado 26-09 se trabajó como jornada de recuperación.</t>
  </si>
  <si>
    <t>Control del Sprint 3 — 10 días hábiles (28-09-2026 al 09-10-2026)</t>
  </si>
  <si>
    <t>E4-H4 T1: La Pyme postula correctamente — Pablo</t>
  </si>
  <si>
    <t>E4-H4 T3: La Pyme postula sin un plan de suscripción activo — Daniel</t>
  </si>
  <si>
    <t>E11-H11 T1: El Licitador ve el listado de postulantes — Gonzalo</t>
  </si>
  <si>
    <t>E11-H11 T2: El Licitador selecciona a una Pyme — Daniel</t>
  </si>
  <si>
    <t>Control del Sprint 4 — 9 días hábiles (13-10-2026 al 23-10-2026)</t>
  </si>
  <si>
    <t>E5-H5 T2: La Pyme es seleccionada por el Licitador — Gonzalo</t>
  </si>
  <si>
    <t>E5-H5 T3: La Pyme no tiene postulaciones registradas — Pablo</t>
  </si>
  <si>
    <t>E12-H12 T2: El Administrador inicia sesión correctamente — Daniel</t>
  </si>
  <si>
    <t>E12-H12 T3: El Administrador ingresa credenciales incorrectas — Gonzalo</t>
  </si>
  <si>
    <t>E13-H13 T1: El Administrador visualiza el listado de usuarios — Daniel</t>
  </si>
  <si>
    <t>E13-H13 T2: El Administrador modera una licitación reportada — Pablo</t>
  </si>
  <si>
    <t>Nota: el lunes 12-10 fue feriado; el sprint inicia el martes 13-10.</t>
  </si>
  <si>
    <t>Control del Sprint 5 — 10 días hábiles (26-10-2026 al 06-11-2026)</t>
  </si>
  <si>
    <t>E6-H6 T1: La Pyme elige un plan disponible — Gonzalo</t>
  </si>
  <si>
    <t>E6-H6 T3: El pago es rechazado — Daniel</t>
  </si>
  <si>
    <t>E4-H17 T2: El Licitador intenta adjuntar un archivo no permitido — Gonzalo</t>
  </si>
  <si>
    <t>E6-H18 T1: Visualizar plan actual — Pablo</t>
  </si>
  <si>
    <t>E6-H18 T3: Consultar vigencia y/o estado — Daniel</t>
  </si>
  <si>
    <t>Control del Sprint 6 — 10 días hábiles (09-11-2026 al 20-11-2026)</t>
  </si>
  <si>
    <t>E7-H7 T2: LicitAsist no puede responder por límite de uso alcanzado — Daniel</t>
  </si>
  <si>
    <t>E14-H14 T1: Se notifica la publicación de una nueva licitación relevante — Gonzalo</t>
  </si>
  <si>
    <t>E15-H15 T2: La Pyme y el Licitador intercambian mensajes — Daniel</t>
  </si>
  <si>
    <t>E16-H16 T2: El usuario deja un campo obligatorio vacío o inválido — Gonzalo</t>
  </si>
  <si>
    <t>E16-H16 T3: El usuario intenta modificar un dato protegido — Gonzalo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</si>
</sst>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1F497D"/>
      <name val="Calibri"/>
    </font>
    <font>
      <b/>
      <sz val="7.0"/>
      <color theme="1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/>
    <font>
      <sz val="8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  <font>
      <i/>
      <sz val="9.0"/>
      <color rgb="FF5C6B7A"/>
      <name val="Calibri"/>
    </font>
    <font>
      <b/>
      <sz val="8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BF9000"/>
        <bgColor rgb="FFBF9000"/>
      </patternFill>
    </fill>
    <fill>
      <patternFill patternType="solid">
        <fgColor rgb="FF2E7D32"/>
        <bgColor rgb="FF2E7D32"/>
      </patternFill>
    </fill>
    <fill>
      <patternFill patternType="solid">
        <fgColor rgb="FF1565C0"/>
        <bgColor rgb="FF1565C0"/>
      </patternFill>
    </fill>
    <fill>
      <patternFill patternType="solid">
        <fgColor rgb="FFB45309"/>
        <bgColor rgb="FFB45309"/>
      </patternFill>
    </fill>
    <fill>
      <patternFill patternType="solid">
        <fgColor rgb="FF6A3FA0"/>
        <bgColor rgb="FF6A3FA0"/>
      </patternFill>
    </fill>
    <fill>
      <patternFill patternType="solid">
        <fgColor rgb="FFC2185B"/>
        <bgColor rgb="FFC2185B"/>
      </patternFill>
    </fill>
    <fill>
      <patternFill patternType="solid">
        <fgColor rgb="FFFFF2CC"/>
        <bgColor rgb="FFFFF2CC"/>
      </patternFill>
    </fill>
    <fill>
      <patternFill patternType="solid">
        <fgColor rgb="FFD5E8D4"/>
        <bgColor rgb="FFD5E8D4"/>
      </patternFill>
    </fill>
    <fill>
      <patternFill patternType="solid">
        <fgColor rgb="FFDAE8FC"/>
        <bgColor rgb="FFDAE8FC"/>
      </patternFill>
    </fill>
    <fill>
      <patternFill patternType="solid">
        <fgColor rgb="FFFFE0CC"/>
        <bgColor rgb="FFFFE0CC"/>
      </patternFill>
    </fill>
    <fill>
      <patternFill patternType="solid">
        <fgColor rgb="FFE6D9F2"/>
        <bgColor rgb="FFE6D9F2"/>
      </patternFill>
    </fill>
    <fill>
      <patternFill patternType="solid">
        <fgColor rgb="FFF8D9E3"/>
        <bgColor rgb="FFF8D9E3"/>
      </patternFill>
    </fill>
  </fills>
  <borders count="9">
    <border/>
    <border>
      <left/>
      <right/>
      <top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textRotation="9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3" fontId="4" numFmtId="0" xfId="0" applyAlignment="1" applyBorder="1" applyFill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2" fillId="4" fontId="4" numFmtId="0" xfId="0" applyAlignment="1" applyBorder="1" applyFill="1" applyFont="1">
      <alignment horizontal="center" shrinkToFit="0" vertical="center" wrapText="0"/>
    </xf>
    <xf borderId="2" fillId="5" fontId="4" numFmtId="0" xfId="0" applyAlignment="1" applyBorder="1" applyFill="1" applyFont="1">
      <alignment horizontal="center" shrinkToFit="0" vertical="center" wrapText="0"/>
    </xf>
    <xf borderId="2" fillId="6" fontId="4" numFmtId="0" xfId="0" applyAlignment="1" applyBorder="1" applyFill="1" applyFont="1">
      <alignment horizontal="center" shrinkToFit="0" vertical="center" wrapText="0"/>
    </xf>
    <xf borderId="2" fillId="7" fontId="4" numFmtId="0" xfId="0" applyAlignment="1" applyBorder="1" applyFill="1" applyFont="1">
      <alignment horizontal="center" shrinkToFit="0" vertical="center" wrapText="0"/>
    </xf>
    <xf borderId="2" fillId="8" fontId="4" numFmtId="0" xfId="0" applyAlignment="1" applyBorder="1" applyFill="1" applyFont="1">
      <alignment horizontal="center" shrinkToFit="0" vertical="center" wrapText="0"/>
    </xf>
    <xf borderId="5" fillId="0" fontId="5" numFmtId="0" xfId="0" applyBorder="1" applyFont="1"/>
    <xf borderId="6" fillId="9" fontId="6" numFmtId="0" xfId="0" applyAlignment="1" applyBorder="1" applyFill="1" applyFont="1">
      <alignment horizontal="center" shrinkToFit="0" vertical="center" wrapText="0"/>
    </xf>
    <xf borderId="6" fillId="10" fontId="6" numFmtId="0" xfId="0" applyAlignment="1" applyBorder="1" applyFill="1" applyFont="1">
      <alignment horizontal="center" shrinkToFit="0" vertical="center" wrapText="0"/>
    </xf>
    <xf borderId="6" fillId="11" fontId="6" numFmtId="0" xfId="0" applyAlignment="1" applyBorder="1" applyFill="1" applyFont="1">
      <alignment horizontal="center" shrinkToFit="0" vertical="center" wrapText="0"/>
    </xf>
    <xf borderId="6" fillId="12" fontId="6" numFmtId="0" xfId="0" applyAlignment="1" applyBorder="1" applyFill="1" applyFont="1">
      <alignment horizontal="center" shrinkToFit="0" vertical="center" wrapText="0"/>
    </xf>
    <xf borderId="6" fillId="13" fontId="6" numFmtId="0" xfId="0" applyAlignment="1" applyBorder="1" applyFill="1" applyFont="1">
      <alignment horizontal="center" shrinkToFit="0" vertical="center" wrapText="0"/>
    </xf>
    <xf borderId="6" fillId="14" fontId="6" numFmtId="0" xfId="0" applyAlignment="1" applyBorder="1" applyFill="1" applyFont="1">
      <alignment horizontal="center" shrinkToFit="0" vertical="center" wrapText="0"/>
    </xf>
    <xf borderId="6" fillId="9" fontId="7" numFmtId="0" xfId="0" applyAlignment="1" applyBorder="1" applyFill="1" applyFont="1">
      <alignment horizontal="left" shrinkToFit="0" vertical="center" wrapText="1"/>
    </xf>
    <xf borderId="6" fillId="9" fontId="7" numFmtId="0" xfId="0" applyAlignment="1" applyBorder="1" applyFill="1" applyFont="1">
      <alignment horizontal="center" shrinkToFit="0" vertical="center" wrapText="0"/>
    </xf>
    <xf borderId="6" fillId="0" fontId="8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shrinkToFit="0" vertical="bottom" wrapText="0"/>
    </xf>
    <xf borderId="6" fillId="9" fontId="7" numFmtId="0" xfId="0" applyAlignment="1" applyBorder="1" applyFill="1" applyFont="1">
      <alignment horizontal="left" readingOrder="0" shrinkToFit="0" vertical="center" wrapText="1"/>
    </xf>
    <xf borderId="6" fillId="10" fontId="7" numFmtId="0" xfId="0" applyAlignment="1" applyBorder="1" applyFill="1" applyFont="1">
      <alignment horizontal="left" shrinkToFit="0" vertical="center" wrapText="1"/>
    </xf>
    <xf borderId="6" fillId="10" fontId="7" numFmtId="0" xfId="0" applyAlignment="1" applyBorder="1" applyFill="1" applyFont="1">
      <alignment horizontal="center" shrinkToFit="0" vertical="center" wrapText="0"/>
    </xf>
    <xf borderId="6" fillId="10" fontId="7" numFmtId="0" xfId="0" applyAlignment="1" applyBorder="1" applyFill="1" applyFont="1">
      <alignment horizontal="left" readingOrder="0" shrinkToFit="0" vertical="center" wrapText="1"/>
    </xf>
    <xf borderId="6" fillId="11" fontId="7" numFmtId="0" xfId="0" applyAlignment="1" applyBorder="1" applyFill="1" applyFont="1">
      <alignment horizontal="left" readingOrder="0" shrinkToFit="0" vertical="center" wrapText="1"/>
    </xf>
    <xf borderId="6" fillId="11" fontId="7" numFmtId="0" xfId="0" applyAlignment="1" applyBorder="1" applyFill="1" applyFont="1">
      <alignment horizontal="center" shrinkToFit="0" vertical="center" wrapText="0"/>
    </xf>
    <xf borderId="6" fillId="11" fontId="7" numFmtId="0" xfId="0" applyAlignment="1" applyBorder="1" applyFill="1" applyFont="1">
      <alignment horizontal="left" shrinkToFit="0" vertical="center" wrapText="1"/>
    </xf>
    <xf borderId="6" fillId="12" fontId="7" numFmtId="0" xfId="0" applyAlignment="1" applyBorder="1" applyFill="1" applyFont="1">
      <alignment horizontal="left" shrinkToFit="0" vertical="center" wrapText="1"/>
    </xf>
    <xf borderId="6" fillId="12" fontId="7" numFmtId="0" xfId="0" applyAlignment="1" applyBorder="1" applyFill="1" applyFont="1">
      <alignment horizontal="center" shrinkToFit="0" vertical="center" wrapText="0"/>
    </xf>
    <xf borderId="6" fillId="12" fontId="7" numFmtId="0" xfId="0" applyAlignment="1" applyBorder="1" applyFill="1" applyFont="1">
      <alignment horizontal="left" readingOrder="0" shrinkToFit="0" vertical="center" wrapText="1"/>
    </xf>
    <xf borderId="6" fillId="13" fontId="7" numFmtId="0" xfId="0" applyAlignment="1" applyBorder="1" applyFill="1" applyFont="1">
      <alignment horizontal="left" readingOrder="0" shrinkToFit="0" vertical="center" wrapText="1"/>
    </xf>
    <xf borderId="6" fillId="13" fontId="7" numFmtId="0" xfId="0" applyAlignment="1" applyBorder="1" applyFill="1" applyFont="1">
      <alignment horizontal="center" shrinkToFit="0" vertical="center" wrapText="0"/>
    </xf>
    <xf borderId="6" fillId="13" fontId="7" numFmtId="0" xfId="0" applyAlignment="1" applyBorder="1" applyFill="1" applyFont="1">
      <alignment horizontal="left" shrinkToFit="0" vertical="center" wrapText="1"/>
    </xf>
    <xf borderId="6" fillId="14" fontId="7" numFmtId="0" xfId="0" applyAlignment="1" applyBorder="1" applyFill="1" applyFont="1">
      <alignment horizontal="left" shrinkToFit="0" vertical="center" wrapText="1"/>
    </xf>
    <xf borderId="6" fillId="14" fontId="7" numFmtId="0" xfId="0" applyAlignment="1" applyBorder="1" applyFill="1" applyFont="1">
      <alignment horizontal="center" shrinkToFit="0" vertical="center" wrapText="0"/>
    </xf>
    <xf borderId="6" fillId="14" fontId="7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center" wrapText="0"/>
    </xf>
    <xf borderId="0" fillId="0" fontId="10" numFmtId="0" xfId="0" applyFont="1"/>
    <xf borderId="6" fillId="9" fontId="9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6" fillId="10" fontId="9" numFmtId="0" xfId="0" applyAlignment="1" applyBorder="1" applyFill="1" applyFont="1">
      <alignment shrinkToFit="0" vertical="bottom" wrapText="0"/>
    </xf>
    <xf borderId="6" fillId="11" fontId="9" numFmtId="0" xfId="0" applyAlignment="1" applyBorder="1" applyFill="1" applyFont="1">
      <alignment shrinkToFit="0" vertical="bottom" wrapText="0"/>
    </xf>
    <xf borderId="6" fillId="12" fontId="9" numFmtId="0" xfId="0" applyAlignment="1" applyBorder="1" applyFill="1" applyFont="1">
      <alignment shrinkToFit="0" vertical="bottom" wrapText="0"/>
    </xf>
    <xf borderId="6" fillId="13" fontId="9" numFmtId="0" xfId="0" applyAlignment="1" applyBorder="1" applyFill="1" applyFont="1">
      <alignment shrinkToFit="0" vertical="bottom" wrapText="0"/>
    </xf>
    <xf borderId="6" fillId="14" fontId="9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center" shrinkToFit="0" vertical="center" wrapText="0"/>
    </xf>
    <xf borderId="7" fillId="2" fontId="3" numFmtId="0" xfId="0" applyAlignment="1" applyBorder="1" applyFill="1" applyFont="1">
      <alignment horizontal="center"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8" fillId="0" fontId="5" numFmtId="0" xfId="0" applyBorder="1" applyFont="1"/>
    <xf borderId="6" fillId="2" fontId="3" numFmtId="0" xfId="0" applyAlignment="1" applyBorder="1" applyFill="1" applyFont="1">
      <alignment horizontal="center" shrinkToFit="0" vertical="center" wrapText="0"/>
    </xf>
    <xf borderId="6" fillId="0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Trabajo Pendiente (Proyecto Completo, Sprints 1 a 6)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19050">
              <a:solidFill>
                <a:srgbClr val="C039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0392B">
                  <a:alpha val="100000"/>
                </a:srgbClr>
              </a:solidFill>
              <a:ln cmpd="sng">
                <a:solidFill>
                  <a:srgbClr val="C0392B">
                    <a:alpha val="100000"/>
                  </a:srgbClr>
                </a:solidFill>
              </a:ln>
            </c:spPr>
          </c:marker>
          <c:cat>
            <c:strRef>
              <c:f>Historial!$C$2:$BH$2</c:f>
            </c:strRef>
          </c:cat>
          <c:val>
            <c:numRef>
              <c:f>Historial!$C$65:$BH$65</c:f>
              <c:numCache/>
            </c:numRef>
          </c:val>
          <c:smooth val="1"/>
        </c:ser>
        <c:ser>
          <c:idx val="1"/>
          <c:order val="1"/>
          <c:tx>
            <c:v>Línea Ideal (estimado)</c:v>
          </c:tx>
          <c:spPr>
            <a:ln cmpd="sng" w="9525">
              <a:solidFill>
                <a:srgbClr val="1F497D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Historial!$C$2:$BH$2</c:f>
            </c:strRef>
          </c:cat>
          <c:val>
            <c:numRef>
              <c:f>Historial!$C$67:$BH$67</c:f>
              <c:numCache/>
            </c:numRef>
          </c:val>
          <c:smooth val="1"/>
        </c:ser>
        <c:axId val="1201582946"/>
        <c:axId val="1934922464"/>
      </c:lineChart>
      <c:catAx>
        <c:axId val="12015829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4922464"/>
      </c:catAx>
      <c:valAx>
        <c:axId val="1934922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158294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Trabajo Pendiente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19050">
              <a:solidFill>
                <a:srgbClr val="C039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0392B">
                  <a:alpha val="100000"/>
                </a:srgbClr>
              </a:solidFill>
              <a:ln cmpd="sng">
                <a:solidFill>
                  <a:srgbClr val="C0392B">
                    <a:alpha val="100000"/>
                  </a:srgbClr>
                </a:solidFill>
              </a:ln>
            </c:spPr>
          </c:marker>
          <c:cat>
            <c:strRef>
              <c:f>'Sprint 1'!$C$2:$K$2</c:f>
            </c:strRef>
          </c:cat>
          <c:val>
            <c:numRef>
              <c:f>'Sprint 1'!$C$22:$K$22</c:f>
              <c:numCache/>
            </c:numRef>
          </c:val>
          <c:smooth val="1"/>
        </c:ser>
        <c:ser>
          <c:idx val="1"/>
          <c:order val="1"/>
          <c:tx>
            <c:v>Línea Ideal (estimado)</c:v>
          </c:tx>
          <c:spPr>
            <a:ln cmpd="sng" w="9525">
              <a:solidFill>
                <a:srgbClr val="1F497D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1'!$C$2:$K$2</c:f>
            </c:strRef>
          </c:cat>
          <c:val>
            <c:numRef>
              <c:f>'Sprint 1'!$C$24:$K$24</c:f>
              <c:numCache/>
            </c:numRef>
          </c:val>
          <c:smooth val="1"/>
        </c:ser>
        <c:axId val="880001638"/>
        <c:axId val="1017728892"/>
      </c:lineChart>
      <c:catAx>
        <c:axId val="880001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17728892"/>
      </c:catAx>
      <c:valAx>
        <c:axId val="1017728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8000163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Trabajo Pendiente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19050">
              <a:solidFill>
                <a:srgbClr val="C039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0392B">
                  <a:alpha val="100000"/>
                </a:srgbClr>
              </a:solidFill>
              <a:ln cmpd="sng">
                <a:solidFill>
                  <a:srgbClr val="C0392B">
                    <a:alpha val="100000"/>
                  </a:srgbClr>
                </a:solidFill>
              </a:ln>
            </c:spPr>
          </c:marker>
          <c:cat>
            <c:strRef>
              <c:f>'Sprint 2'!$C$2:$L$2</c:f>
            </c:strRef>
          </c:cat>
          <c:val>
            <c:numRef>
              <c:f>'Sprint 2'!$C$17:$L$17</c:f>
              <c:numCache/>
            </c:numRef>
          </c:val>
          <c:smooth val="1"/>
        </c:ser>
        <c:ser>
          <c:idx val="1"/>
          <c:order val="1"/>
          <c:tx>
            <c:v>Línea Ideal (estimado)</c:v>
          </c:tx>
          <c:spPr>
            <a:ln cmpd="sng" w="9525">
              <a:solidFill>
                <a:srgbClr val="1F497D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2'!$C$2:$L$2</c:f>
            </c:strRef>
          </c:cat>
          <c:val>
            <c:numRef>
              <c:f>'Sprint 2'!$C$19:$L$19</c:f>
              <c:numCache/>
            </c:numRef>
          </c:val>
          <c:smooth val="1"/>
        </c:ser>
        <c:axId val="168526081"/>
        <c:axId val="2005289832"/>
      </c:lineChart>
      <c:catAx>
        <c:axId val="168526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5289832"/>
      </c:catAx>
      <c:valAx>
        <c:axId val="200528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852608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Trabajo Pendiente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19050">
              <a:solidFill>
                <a:srgbClr val="C039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0392B">
                  <a:alpha val="100000"/>
                </a:srgbClr>
              </a:solidFill>
              <a:ln cmpd="sng">
                <a:solidFill>
                  <a:srgbClr val="C0392B">
                    <a:alpha val="100000"/>
                  </a:srgbClr>
                </a:solidFill>
              </a:ln>
            </c:spPr>
          </c:marker>
          <c:cat>
            <c:strRef>
              <c:f>'Sprint 3'!$C$2:$L$2</c:f>
            </c:strRef>
          </c:cat>
          <c:val>
            <c:numRef>
              <c:f>'Sprint 3'!$C$15:$L$15</c:f>
              <c:numCache/>
            </c:numRef>
          </c:val>
          <c:smooth val="1"/>
        </c:ser>
        <c:ser>
          <c:idx val="1"/>
          <c:order val="1"/>
          <c:tx>
            <c:v>Línea Ideal (estimado)</c:v>
          </c:tx>
          <c:spPr>
            <a:ln cmpd="sng" w="9525">
              <a:solidFill>
                <a:srgbClr val="1F497D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3'!$C$2:$L$2</c:f>
            </c:strRef>
          </c:cat>
          <c:val>
            <c:numRef>
              <c:f>'Sprint 3'!$C$17:$L$17</c:f>
              <c:numCache/>
            </c:numRef>
          </c:val>
          <c:smooth val="1"/>
        </c:ser>
        <c:axId val="452836165"/>
        <c:axId val="242592681"/>
      </c:lineChart>
      <c:catAx>
        <c:axId val="452836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2592681"/>
      </c:catAx>
      <c:valAx>
        <c:axId val="242592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283616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Trabajo Pendiente Sprint 4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19050">
              <a:solidFill>
                <a:srgbClr val="C039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0392B">
                  <a:alpha val="100000"/>
                </a:srgbClr>
              </a:solidFill>
              <a:ln cmpd="sng">
                <a:solidFill>
                  <a:srgbClr val="C0392B">
                    <a:alpha val="100000"/>
                  </a:srgbClr>
                </a:solidFill>
              </a:ln>
            </c:spPr>
          </c:marker>
          <c:cat>
            <c:strRef>
              <c:f>'Sprint 4'!$C$2:$K$2</c:f>
            </c:strRef>
          </c:cat>
          <c:val>
            <c:numRef>
              <c:f>'Sprint 4'!$C$18:$K$18</c:f>
              <c:numCache/>
            </c:numRef>
          </c:val>
          <c:smooth val="1"/>
        </c:ser>
        <c:ser>
          <c:idx val="1"/>
          <c:order val="1"/>
          <c:tx>
            <c:v>Línea Ideal (estimado)</c:v>
          </c:tx>
          <c:spPr>
            <a:ln cmpd="sng" w="9525">
              <a:solidFill>
                <a:srgbClr val="1F497D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4'!$C$2:$K$2</c:f>
            </c:strRef>
          </c:cat>
          <c:val>
            <c:numRef>
              <c:f>'Sprint 4'!$C$20:$K$20</c:f>
              <c:numCache/>
            </c:numRef>
          </c:val>
          <c:smooth val="1"/>
        </c:ser>
        <c:axId val="2131573263"/>
        <c:axId val="1812807639"/>
      </c:lineChart>
      <c:catAx>
        <c:axId val="213157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2807639"/>
      </c:catAx>
      <c:valAx>
        <c:axId val="1812807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3157326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Trabajo Pendiente Sprint 5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19050">
              <a:solidFill>
                <a:srgbClr val="C039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0392B">
                  <a:alpha val="100000"/>
                </a:srgbClr>
              </a:solidFill>
              <a:ln cmpd="sng">
                <a:solidFill>
                  <a:srgbClr val="C0392B">
                    <a:alpha val="100000"/>
                  </a:srgbClr>
                </a:solidFill>
              </a:ln>
            </c:spPr>
          </c:marker>
          <c:cat>
            <c:strRef>
              <c:f>'Sprint 5'!$C$2:$L$2</c:f>
            </c:strRef>
          </c:cat>
          <c:val>
            <c:numRef>
              <c:f>'Sprint 5'!$C$18:$L$18</c:f>
              <c:numCache/>
            </c:numRef>
          </c:val>
          <c:smooth val="1"/>
        </c:ser>
        <c:ser>
          <c:idx val="1"/>
          <c:order val="1"/>
          <c:tx>
            <c:v>Línea Ideal (estimado)</c:v>
          </c:tx>
          <c:spPr>
            <a:ln cmpd="sng" w="9525">
              <a:solidFill>
                <a:srgbClr val="1F497D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5'!$C$2:$L$2</c:f>
            </c:strRef>
          </c:cat>
          <c:val>
            <c:numRef>
              <c:f>'Sprint 5'!$C$20:$L$20</c:f>
              <c:numCache/>
            </c:numRef>
          </c:val>
          <c:smooth val="1"/>
        </c:ser>
        <c:axId val="1815159496"/>
        <c:axId val="2084338514"/>
      </c:lineChart>
      <c:catAx>
        <c:axId val="1815159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4338514"/>
      </c:catAx>
      <c:valAx>
        <c:axId val="2084338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515949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Trabajo Pendiente Sprint 6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19050">
              <a:solidFill>
                <a:srgbClr val="C0392B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C0392B">
                  <a:alpha val="100000"/>
                </a:srgbClr>
              </a:solidFill>
              <a:ln cmpd="sng">
                <a:solidFill>
                  <a:srgbClr val="C0392B">
                    <a:alpha val="100000"/>
                  </a:srgbClr>
                </a:solidFill>
              </a:ln>
            </c:spPr>
          </c:marker>
          <c:cat>
            <c:strRef>
              <c:f>'Sprint 6'!$C$2:$L$2</c:f>
            </c:strRef>
          </c:cat>
          <c:val>
            <c:numRef>
              <c:f>'Sprint 6'!$C$20:$L$20</c:f>
              <c:numCache/>
            </c:numRef>
          </c:val>
          <c:smooth val="1"/>
        </c:ser>
        <c:ser>
          <c:idx val="1"/>
          <c:order val="1"/>
          <c:tx>
            <c:v>Línea Ideal (estimado)</c:v>
          </c:tx>
          <c:spPr>
            <a:ln cmpd="sng" w="9525">
              <a:solidFill>
                <a:srgbClr val="1F497D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6'!$C$2:$L$2</c:f>
            </c:strRef>
          </c:cat>
          <c:val>
            <c:numRef>
              <c:f>'Sprint 6'!$C$22:$L$22</c:f>
              <c:numCache/>
            </c:numRef>
          </c:val>
          <c:smooth val="1"/>
        </c:ser>
        <c:axId val="2139901943"/>
        <c:axId val="1670498860"/>
      </c:lineChart>
      <c:catAx>
        <c:axId val="2139901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0498860"/>
      </c:catAx>
      <c:valAx>
        <c:axId val="1670498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3990194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78</xdr:row>
      <xdr:rowOff>47625</xdr:rowOff>
    </xdr:from>
    <xdr:ext cx="9572625" cy="4162425"/>
    <xdr:graphicFrame>
      <xdr:nvGraphicFramePr>
        <xdr:cNvPr id="120852944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180975</xdr:rowOff>
    </xdr:from>
    <xdr:ext cx="5810250" cy="3371850"/>
    <xdr:graphicFrame>
      <xdr:nvGraphicFramePr>
        <xdr:cNvPr id="110078246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180975</xdr:rowOff>
    </xdr:from>
    <xdr:ext cx="5810250" cy="3371850"/>
    <xdr:graphicFrame>
      <xdr:nvGraphicFramePr>
        <xdr:cNvPr id="177527835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180975</xdr:rowOff>
    </xdr:from>
    <xdr:ext cx="5810250" cy="3371850"/>
    <xdr:graphicFrame>
      <xdr:nvGraphicFramePr>
        <xdr:cNvPr id="40340590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180975</xdr:rowOff>
    </xdr:from>
    <xdr:ext cx="5810250" cy="3371850"/>
    <xdr:graphicFrame>
      <xdr:nvGraphicFramePr>
        <xdr:cNvPr id="177419200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180975</xdr:rowOff>
    </xdr:from>
    <xdr:ext cx="5810250" cy="3371850"/>
    <xdr:graphicFrame>
      <xdr:nvGraphicFramePr>
        <xdr:cNvPr id="23472216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180975</xdr:rowOff>
    </xdr:from>
    <xdr:ext cx="5810250" cy="3267075"/>
    <xdr:graphicFrame>
      <xdr:nvGraphicFramePr>
        <xdr:cNvPr id="115319629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12.0"/>
    <col customWidth="1" min="3" max="61" width="5.86"/>
  </cols>
  <sheetData>
    <row r="1">
      <c r="A1" s="1" t="s">
        <v>0</v>
      </c>
    </row>
    <row r="2" ht="30.0" customHeight="1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</row>
    <row r="3">
      <c r="A3" s="3" t="s">
        <v>59</v>
      </c>
      <c r="B3" s="3" t="s">
        <v>60</v>
      </c>
      <c r="C3" s="4" t="s">
        <v>61</v>
      </c>
      <c r="D3" s="5"/>
      <c r="E3" s="5"/>
      <c r="F3" s="5"/>
      <c r="G3" s="5"/>
      <c r="H3" s="5"/>
      <c r="I3" s="5"/>
      <c r="J3" s="5"/>
      <c r="K3" s="6"/>
      <c r="L3" s="7" t="s">
        <v>62</v>
      </c>
      <c r="M3" s="5"/>
      <c r="N3" s="5"/>
      <c r="O3" s="5"/>
      <c r="P3" s="5"/>
      <c r="Q3" s="5"/>
      <c r="R3" s="5"/>
      <c r="S3" s="5"/>
      <c r="T3" s="5"/>
      <c r="U3" s="6"/>
      <c r="V3" s="8" t="s">
        <v>63</v>
      </c>
      <c r="W3" s="5"/>
      <c r="X3" s="5"/>
      <c r="Y3" s="5"/>
      <c r="Z3" s="5"/>
      <c r="AA3" s="5"/>
      <c r="AB3" s="5"/>
      <c r="AC3" s="5"/>
      <c r="AD3" s="5"/>
      <c r="AE3" s="6"/>
      <c r="AF3" s="9" t="s">
        <v>64</v>
      </c>
      <c r="AG3" s="5"/>
      <c r="AH3" s="5"/>
      <c r="AI3" s="5"/>
      <c r="AJ3" s="5"/>
      <c r="AK3" s="5"/>
      <c r="AL3" s="5"/>
      <c r="AM3" s="5"/>
      <c r="AN3" s="6"/>
      <c r="AO3" s="10" t="s">
        <v>65</v>
      </c>
      <c r="AP3" s="5"/>
      <c r="AQ3" s="5"/>
      <c r="AR3" s="5"/>
      <c r="AS3" s="5"/>
      <c r="AT3" s="5"/>
      <c r="AU3" s="5"/>
      <c r="AV3" s="5"/>
      <c r="AW3" s="5"/>
      <c r="AX3" s="6"/>
      <c r="AY3" s="11" t="s">
        <v>66</v>
      </c>
      <c r="AZ3" s="5"/>
      <c r="BA3" s="5"/>
      <c r="BB3" s="5"/>
      <c r="BC3" s="5"/>
      <c r="BD3" s="5"/>
      <c r="BE3" s="5"/>
      <c r="BF3" s="5"/>
      <c r="BG3" s="5"/>
      <c r="BH3" s="6"/>
      <c r="BI3" s="3" t="s">
        <v>67</v>
      </c>
    </row>
    <row r="4">
      <c r="A4" s="12"/>
      <c r="B4" s="12"/>
      <c r="C4" s="13">
        <v>1.0</v>
      </c>
      <c r="D4" s="13">
        <v>2.0</v>
      </c>
      <c r="E4" s="13">
        <v>3.0</v>
      </c>
      <c r="F4" s="13">
        <v>4.0</v>
      </c>
      <c r="G4" s="13">
        <v>5.0</v>
      </c>
      <c r="H4" s="13">
        <v>6.0</v>
      </c>
      <c r="I4" s="13">
        <v>7.0</v>
      </c>
      <c r="J4" s="13">
        <v>8.0</v>
      </c>
      <c r="K4" s="13">
        <v>9.0</v>
      </c>
      <c r="L4" s="14">
        <v>1.0</v>
      </c>
      <c r="M4" s="14">
        <v>2.0</v>
      </c>
      <c r="N4" s="14">
        <v>3.0</v>
      </c>
      <c r="O4" s="14">
        <v>4.0</v>
      </c>
      <c r="P4" s="14">
        <v>5.0</v>
      </c>
      <c r="Q4" s="14">
        <v>6.0</v>
      </c>
      <c r="R4" s="14">
        <v>7.0</v>
      </c>
      <c r="S4" s="14">
        <v>8.0</v>
      </c>
      <c r="T4" s="14">
        <v>9.0</v>
      </c>
      <c r="U4" s="14">
        <v>10.0</v>
      </c>
      <c r="V4" s="15">
        <v>1.0</v>
      </c>
      <c r="W4" s="15">
        <v>2.0</v>
      </c>
      <c r="X4" s="15">
        <v>3.0</v>
      </c>
      <c r="Y4" s="15">
        <v>4.0</v>
      </c>
      <c r="Z4" s="15">
        <v>5.0</v>
      </c>
      <c r="AA4" s="15">
        <v>6.0</v>
      </c>
      <c r="AB4" s="15">
        <v>7.0</v>
      </c>
      <c r="AC4" s="15">
        <v>8.0</v>
      </c>
      <c r="AD4" s="15">
        <v>9.0</v>
      </c>
      <c r="AE4" s="15">
        <v>10.0</v>
      </c>
      <c r="AF4" s="16">
        <v>1.0</v>
      </c>
      <c r="AG4" s="16">
        <v>2.0</v>
      </c>
      <c r="AH4" s="16">
        <v>3.0</v>
      </c>
      <c r="AI4" s="16">
        <v>4.0</v>
      </c>
      <c r="AJ4" s="16">
        <v>5.0</v>
      </c>
      <c r="AK4" s="16">
        <v>6.0</v>
      </c>
      <c r="AL4" s="16">
        <v>7.0</v>
      </c>
      <c r="AM4" s="16">
        <v>8.0</v>
      </c>
      <c r="AN4" s="16">
        <v>9.0</v>
      </c>
      <c r="AO4" s="17">
        <v>1.0</v>
      </c>
      <c r="AP4" s="17">
        <v>2.0</v>
      </c>
      <c r="AQ4" s="17">
        <v>3.0</v>
      </c>
      <c r="AR4" s="17">
        <v>4.0</v>
      </c>
      <c r="AS4" s="17">
        <v>5.0</v>
      </c>
      <c r="AT4" s="17">
        <v>6.0</v>
      </c>
      <c r="AU4" s="17">
        <v>7.0</v>
      </c>
      <c r="AV4" s="17">
        <v>8.0</v>
      </c>
      <c r="AW4" s="17">
        <v>9.0</v>
      </c>
      <c r="AX4" s="17">
        <v>10.0</v>
      </c>
      <c r="AY4" s="18">
        <v>1.0</v>
      </c>
      <c r="AZ4" s="18">
        <v>2.0</v>
      </c>
      <c r="BA4" s="18">
        <v>3.0</v>
      </c>
      <c r="BB4" s="18">
        <v>4.0</v>
      </c>
      <c r="BC4" s="18">
        <v>5.0</v>
      </c>
      <c r="BD4" s="18">
        <v>6.0</v>
      </c>
      <c r="BE4" s="18">
        <v>7.0</v>
      </c>
      <c r="BF4" s="18">
        <v>8.0</v>
      </c>
      <c r="BG4" s="18">
        <v>9.0</v>
      </c>
      <c r="BH4" s="18">
        <v>10.0</v>
      </c>
      <c r="BI4" s="12"/>
    </row>
    <row r="5">
      <c r="A5" s="19" t="s">
        <v>68</v>
      </c>
      <c r="B5" s="20">
        <v>10.0</v>
      </c>
      <c r="C5" s="20">
        <v>2.0</v>
      </c>
      <c r="D5" s="20">
        <v>3.0</v>
      </c>
      <c r="E5" s="20">
        <v>2.0</v>
      </c>
      <c r="F5" s="20">
        <v>3.0</v>
      </c>
      <c r="G5" s="20">
        <v>0.0</v>
      </c>
      <c r="H5" s="20">
        <v>0.0</v>
      </c>
      <c r="I5" s="20">
        <v>0.0</v>
      </c>
      <c r="J5" s="20">
        <v>0.0</v>
      </c>
      <c r="K5" s="20">
        <v>0.0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2">
        <f t="shared" ref="BI5:BI60" si="1">SUM(C5:BH5)</f>
        <v>10</v>
      </c>
    </row>
    <row r="6">
      <c r="A6" s="23" t="s">
        <v>69</v>
      </c>
      <c r="B6" s="20">
        <v>5.0</v>
      </c>
      <c r="C6" s="20">
        <v>2.0</v>
      </c>
      <c r="D6" s="20">
        <v>3.0</v>
      </c>
      <c r="E6" s="20">
        <v>0.0</v>
      </c>
      <c r="F6" s="20">
        <v>0.0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2">
        <f t="shared" si="1"/>
        <v>5</v>
      </c>
    </row>
    <row r="7">
      <c r="A7" s="19" t="s">
        <v>70</v>
      </c>
      <c r="B7" s="20">
        <v>5.0</v>
      </c>
      <c r="C7" s="20">
        <v>0.0</v>
      </c>
      <c r="D7" s="20">
        <v>0.0</v>
      </c>
      <c r="E7" s="20">
        <v>0.0</v>
      </c>
      <c r="F7" s="20">
        <v>0.0</v>
      </c>
      <c r="G7" s="20">
        <v>2.0</v>
      </c>
      <c r="H7" s="20">
        <v>3.0</v>
      </c>
      <c r="I7" s="20">
        <v>0.0</v>
      </c>
      <c r="J7" s="20">
        <v>0.0</v>
      </c>
      <c r="K7" s="20">
        <v>0.0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2">
        <f t="shared" si="1"/>
        <v>5</v>
      </c>
    </row>
    <row r="8">
      <c r="A8" s="23" t="s">
        <v>71</v>
      </c>
      <c r="B8" s="20">
        <v>4.0</v>
      </c>
      <c r="C8" s="20">
        <v>2.0</v>
      </c>
      <c r="D8" s="20">
        <v>2.0</v>
      </c>
      <c r="E8" s="20">
        <v>0.0</v>
      </c>
      <c r="F8" s="20">
        <v>0.0</v>
      </c>
      <c r="G8" s="20">
        <v>0.0</v>
      </c>
      <c r="H8" s="20">
        <v>0.0</v>
      </c>
      <c r="I8" s="20">
        <v>0.0</v>
      </c>
      <c r="J8" s="20">
        <v>0.0</v>
      </c>
      <c r="K8" s="20">
        <v>0.0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2">
        <f t="shared" si="1"/>
        <v>4</v>
      </c>
    </row>
    <row r="9">
      <c r="A9" s="19" t="s">
        <v>72</v>
      </c>
      <c r="B9" s="20">
        <v>6.0</v>
      </c>
      <c r="C9" s="20">
        <v>0.0</v>
      </c>
      <c r="D9" s="20">
        <v>0.0</v>
      </c>
      <c r="E9" s="20">
        <v>3.0</v>
      </c>
      <c r="F9" s="20">
        <v>2.0</v>
      </c>
      <c r="G9" s="20">
        <v>1.0</v>
      </c>
      <c r="H9" s="20">
        <v>0.0</v>
      </c>
      <c r="I9" s="20">
        <v>0.0</v>
      </c>
      <c r="J9" s="20">
        <v>0.0</v>
      </c>
      <c r="K9" s="20">
        <v>0.0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2">
        <f t="shared" si="1"/>
        <v>6</v>
      </c>
    </row>
    <row r="10">
      <c r="A10" s="23" t="s">
        <v>73</v>
      </c>
      <c r="B10" s="20">
        <v>4.0</v>
      </c>
      <c r="C10" s="20">
        <v>0.0</v>
      </c>
      <c r="D10" s="20">
        <v>0.0</v>
      </c>
      <c r="E10" s="20">
        <v>2.0</v>
      </c>
      <c r="F10" s="20">
        <v>2.0</v>
      </c>
      <c r="G10" s="20">
        <v>0.0</v>
      </c>
      <c r="H10" s="20">
        <v>0.0</v>
      </c>
      <c r="I10" s="20">
        <v>0.0</v>
      </c>
      <c r="J10" s="20">
        <v>0.0</v>
      </c>
      <c r="K10" s="20">
        <v>0.0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2">
        <f t="shared" si="1"/>
        <v>4</v>
      </c>
    </row>
    <row r="11">
      <c r="A11" s="19" t="s">
        <v>74</v>
      </c>
      <c r="B11" s="20">
        <v>6.0</v>
      </c>
      <c r="C11" s="20">
        <v>0.0</v>
      </c>
      <c r="D11" s="20">
        <v>0.0</v>
      </c>
      <c r="E11" s="20">
        <v>0.0</v>
      </c>
      <c r="F11" s="20">
        <v>0.0</v>
      </c>
      <c r="G11" s="20">
        <v>1.0</v>
      </c>
      <c r="H11" s="20">
        <v>2.0</v>
      </c>
      <c r="I11" s="20">
        <v>3.0</v>
      </c>
      <c r="J11" s="20">
        <v>0.0</v>
      </c>
      <c r="K11" s="20">
        <v>0.0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2">
        <f t="shared" si="1"/>
        <v>6</v>
      </c>
    </row>
    <row r="12">
      <c r="A12" s="19" t="s">
        <v>75</v>
      </c>
      <c r="B12" s="20">
        <v>8.0</v>
      </c>
      <c r="C12" s="20">
        <v>0.0</v>
      </c>
      <c r="D12" s="20">
        <v>0.0</v>
      </c>
      <c r="E12" s="20">
        <v>0.0</v>
      </c>
      <c r="F12" s="20">
        <v>1.0</v>
      </c>
      <c r="G12" s="20">
        <v>2.0</v>
      </c>
      <c r="H12" s="20">
        <v>3.0</v>
      </c>
      <c r="I12" s="20">
        <v>2.0</v>
      </c>
      <c r="J12" s="20">
        <v>0.0</v>
      </c>
      <c r="K12" s="20">
        <v>0.0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2">
        <f t="shared" si="1"/>
        <v>8</v>
      </c>
    </row>
    <row r="13">
      <c r="A13" s="23" t="s">
        <v>76</v>
      </c>
      <c r="B13" s="20">
        <v>4.0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2.0</v>
      </c>
      <c r="J13" s="20">
        <v>2.0</v>
      </c>
      <c r="K13" s="20">
        <v>0.0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2">
        <f t="shared" si="1"/>
        <v>4</v>
      </c>
    </row>
    <row r="14">
      <c r="A14" s="23" t="s">
        <v>77</v>
      </c>
      <c r="B14" s="20">
        <v>4.0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2.0</v>
      </c>
      <c r="K14" s="20">
        <v>2.0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2">
        <f t="shared" si="1"/>
        <v>4</v>
      </c>
    </row>
    <row r="15">
      <c r="A15" s="19" t="s">
        <v>78</v>
      </c>
      <c r="B15" s="20">
        <v>3.0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3.0</v>
      </c>
      <c r="K15" s="20">
        <v>0.0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2">
        <f t="shared" si="1"/>
        <v>3</v>
      </c>
    </row>
    <row r="16">
      <c r="A16" s="19" t="s">
        <v>79</v>
      </c>
      <c r="B16" s="20">
        <v>2.0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2.0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2">
        <f t="shared" si="1"/>
        <v>2</v>
      </c>
    </row>
    <row r="17">
      <c r="A17" s="23" t="s">
        <v>80</v>
      </c>
      <c r="B17" s="20">
        <v>3.0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1.0</v>
      </c>
      <c r="K17" s="20">
        <v>2.0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2">
        <f t="shared" si="1"/>
        <v>3</v>
      </c>
    </row>
    <row r="18">
      <c r="A18" s="24" t="s">
        <v>81</v>
      </c>
      <c r="B18" s="25">
        <v>16.0</v>
      </c>
      <c r="C18" s="21"/>
      <c r="D18" s="21"/>
      <c r="E18" s="21"/>
      <c r="F18" s="21"/>
      <c r="G18" s="21"/>
      <c r="H18" s="21"/>
      <c r="I18" s="21"/>
      <c r="J18" s="21"/>
      <c r="K18" s="21"/>
      <c r="L18" s="25">
        <v>3.0</v>
      </c>
      <c r="M18" s="25">
        <v>3.0</v>
      </c>
      <c r="N18" s="25">
        <v>2.0</v>
      </c>
      <c r="O18" s="25">
        <v>3.0</v>
      </c>
      <c r="P18" s="25">
        <v>3.0</v>
      </c>
      <c r="Q18" s="25">
        <v>2.0</v>
      </c>
      <c r="R18" s="25">
        <v>0.0</v>
      </c>
      <c r="S18" s="25">
        <v>0.0</v>
      </c>
      <c r="T18" s="25">
        <v>0.0</v>
      </c>
      <c r="U18" s="25">
        <v>0.0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2">
        <f t="shared" si="1"/>
        <v>16</v>
      </c>
    </row>
    <row r="19">
      <c r="A19" s="26" t="s">
        <v>82</v>
      </c>
      <c r="B19" s="25">
        <v>14.0</v>
      </c>
      <c r="C19" s="21"/>
      <c r="D19" s="21"/>
      <c r="E19" s="21"/>
      <c r="F19" s="21"/>
      <c r="G19" s="21"/>
      <c r="H19" s="21"/>
      <c r="I19" s="21"/>
      <c r="J19" s="21"/>
      <c r="K19" s="21"/>
      <c r="L19" s="25">
        <v>2.0</v>
      </c>
      <c r="M19" s="25">
        <v>3.0</v>
      </c>
      <c r="N19" s="25">
        <v>2.0</v>
      </c>
      <c r="O19" s="25">
        <v>3.0</v>
      </c>
      <c r="P19" s="25">
        <v>2.0</v>
      </c>
      <c r="Q19" s="25">
        <v>2.0</v>
      </c>
      <c r="R19" s="25">
        <v>0.0</v>
      </c>
      <c r="S19" s="25">
        <v>0.0</v>
      </c>
      <c r="T19" s="25">
        <v>0.0</v>
      </c>
      <c r="U19" s="25">
        <v>0.0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2">
        <f t="shared" si="1"/>
        <v>14</v>
      </c>
    </row>
    <row r="20">
      <c r="A20" s="24" t="s">
        <v>83</v>
      </c>
      <c r="B20" s="25">
        <v>4.0</v>
      </c>
      <c r="C20" s="21"/>
      <c r="D20" s="21"/>
      <c r="E20" s="21"/>
      <c r="F20" s="21"/>
      <c r="G20" s="21"/>
      <c r="H20" s="21"/>
      <c r="I20" s="21"/>
      <c r="J20" s="21"/>
      <c r="K20" s="21"/>
      <c r="L20" s="25">
        <v>0.0</v>
      </c>
      <c r="M20" s="25">
        <v>0.0</v>
      </c>
      <c r="N20" s="25">
        <v>0.0</v>
      </c>
      <c r="O20" s="25">
        <v>0.0</v>
      </c>
      <c r="P20" s="25">
        <v>0.0</v>
      </c>
      <c r="Q20" s="25">
        <v>1.0</v>
      </c>
      <c r="R20" s="25">
        <v>3.0</v>
      </c>
      <c r="S20" s="25">
        <v>0.0</v>
      </c>
      <c r="T20" s="25">
        <v>0.0</v>
      </c>
      <c r="U20" s="25">
        <v>0.0</v>
      </c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2">
        <f t="shared" si="1"/>
        <v>4</v>
      </c>
    </row>
    <row r="21" ht="15.75" customHeight="1">
      <c r="A21" s="26" t="s">
        <v>84</v>
      </c>
      <c r="B21" s="25">
        <v>6.0</v>
      </c>
      <c r="C21" s="21"/>
      <c r="D21" s="21"/>
      <c r="E21" s="21"/>
      <c r="F21" s="21"/>
      <c r="G21" s="21"/>
      <c r="H21" s="21"/>
      <c r="I21" s="21"/>
      <c r="J21" s="21"/>
      <c r="K21" s="21"/>
      <c r="L21" s="25">
        <v>3.0</v>
      </c>
      <c r="M21" s="25">
        <v>3.0</v>
      </c>
      <c r="N21" s="25">
        <v>0.0</v>
      </c>
      <c r="O21" s="25">
        <v>0.0</v>
      </c>
      <c r="P21" s="25">
        <v>0.0</v>
      </c>
      <c r="Q21" s="25">
        <v>0.0</v>
      </c>
      <c r="R21" s="25">
        <v>0.0</v>
      </c>
      <c r="S21" s="25">
        <v>0.0</v>
      </c>
      <c r="T21" s="25">
        <v>0.0</v>
      </c>
      <c r="U21" s="25">
        <v>0.0</v>
      </c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2">
        <f t="shared" si="1"/>
        <v>6</v>
      </c>
    </row>
    <row r="22" ht="15.75" customHeight="1">
      <c r="A22" s="24" t="s">
        <v>85</v>
      </c>
      <c r="B22" s="25">
        <v>16.0</v>
      </c>
      <c r="C22" s="21"/>
      <c r="D22" s="21"/>
      <c r="E22" s="21"/>
      <c r="F22" s="21"/>
      <c r="G22" s="21"/>
      <c r="H22" s="21"/>
      <c r="I22" s="21"/>
      <c r="J22" s="21"/>
      <c r="K22" s="21"/>
      <c r="L22" s="25">
        <v>0.0</v>
      </c>
      <c r="M22" s="25">
        <v>0.0</v>
      </c>
      <c r="N22" s="25">
        <v>2.0</v>
      </c>
      <c r="O22" s="25">
        <v>3.0</v>
      </c>
      <c r="P22" s="25">
        <v>3.0</v>
      </c>
      <c r="Q22" s="25">
        <v>3.0</v>
      </c>
      <c r="R22" s="25">
        <v>3.0</v>
      </c>
      <c r="S22" s="25">
        <v>2.0</v>
      </c>
      <c r="T22" s="25">
        <v>0.0</v>
      </c>
      <c r="U22" s="25">
        <v>0.0</v>
      </c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2">
        <f t="shared" si="1"/>
        <v>16</v>
      </c>
    </row>
    <row r="23" ht="15.75" customHeight="1">
      <c r="A23" s="26" t="s">
        <v>86</v>
      </c>
      <c r="B23" s="25">
        <v>10.0</v>
      </c>
      <c r="C23" s="21"/>
      <c r="D23" s="21"/>
      <c r="E23" s="21"/>
      <c r="F23" s="21"/>
      <c r="G23" s="21"/>
      <c r="H23" s="21"/>
      <c r="I23" s="21"/>
      <c r="J23" s="21"/>
      <c r="K23" s="21"/>
      <c r="L23" s="25">
        <v>0.0</v>
      </c>
      <c r="M23" s="25">
        <v>0.0</v>
      </c>
      <c r="N23" s="25">
        <v>0.0</v>
      </c>
      <c r="O23" s="25">
        <v>0.0</v>
      </c>
      <c r="P23" s="25">
        <v>0.0</v>
      </c>
      <c r="Q23" s="25">
        <v>0.0</v>
      </c>
      <c r="R23" s="25">
        <v>3.0</v>
      </c>
      <c r="S23" s="25">
        <v>2.0</v>
      </c>
      <c r="T23" s="25">
        <v>3.0</v>
      </c>
      <c r="U23" s="25">
        <v>2.0</v>
      </c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2">
        <f t="shared" si="1"/>
        <v>10</v>
      </c>
    </row>
    <row r="24" ht="15.75" customHeight="1">
      <c r="A24" s="24" t="s">
        <v>87</v>
      </c>
      <c r="B24" s="25">
        <v>6.0</v>
      </c>
      <c r="C24" s="21"/>
      <c r="D24" s="21"/>
      <c r="E24" s="21"/>
      <c r="F24" s="21"/>
      <c r="G24" s="21"/>
      <c r="H24" s="21"/>
      <c r="I24" s="21"/>
      <c r="J24" s="21"/>
      <c r="K24" s="21"/>
      <c r="L24" s="25">
        <v>0.0</v>
      </c>
      <c r="M24" s="25">
        <v>0.0</v>
      </c>
      <c r="N24" s="25">
        <v>0.0</v>
      </c>
      <c r="O24" s="25">
        <v>0.0</v>
      </c>
      <c r="P24" s="25">
        <v>0.0</v>
      </c>
      <c r="Q24" s="25">
        <v>0.0</v>
      </c>
      <c r="R24" s="25">
        <v>0.0</v>
      </c>
      <c r="S24" s="25">
        <v>0.0</v>
      </c>
      <c r="T24" s="25">
        <v>3.0</v>
      </c>
      <c r="U24" s="25">
        <v>3.0</v>
      </c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2">
        <f t="shared" si="1"/>
        <v>6</v>
      </c>
    </row>
    <row r="25" ht="15.75" customHeight="1">
      <c r="A25" s="26" t="s">
        <v>88</v>
      </c>
      <c r="B25" s="25">
        <v>8.0</v>
      </c>
      <c r="C25" s="21"/>
      <c r="D25" s="21"/>
      <c r="E25" s="21"/>
      <c r="F25" s="21"/>
      <c r="G25" s="21"/>
      <c r="H25" s="21"/>
      <c r="I25" s="21"/>
      <c r="J25" s="21"/>
      <c r="K25" s="21"/>
      <c r="L25" s="25">
        <v>0.0</v>
      </c>
      <c r="M25" s="25">
        <v>0.0</v>
      </c>
      <c r="N25" s="25">
        <v>0.0</v>
      </c>
      <c r="O25" s="25">
        <v>0.0</v>
      </c>
      <c r="P25" s="25">
        <v>0.0</v>
      </c>
      <c r="Q25" s="25">
        <v>0.0</v>
      </c>
      <c r="R25" s="25">
        <v>0.0</v>
      </c>
      <c r="S25" s="25">
        <v>2.0</v>
      </c>
      <c r="T25" s="25">
        <v>3.0</v>
      </c>
      <c r="U25" s="25">
        <v>3.0</v>
      </c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2">
        <f t="shared" si="1"/>
        <v>8</v>
      </c>
    </row>
    <row r="26" ht="15.75" customHeight="1">
      <c r="A26" s="27" t="s">
        <v>89</v>
      </c>
      <c r="B26" s="28">
        <v>20.0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8">
        <v>3.0</v>
      </c>
      <c r="W26" s="28">
        <v>2.0</v>
      </c>
      <c r="X26" s="28">
        <v>3.0</v>
      </c>
      <c r="Y26" s="28">
        <v>2.0</v>
      </c>
      <c r="Z26" s="28">
        <v>3.0</v>
      </c>
      <c r="AA26" s="28">
        <v>3.0</v>
      </c>
      <c r="AB26" s="28">
        <v>2.0</v>
      </c>
      <c r="AC26" s="28">
        <v>2.0</v>
      </c>
      <c r="AD26" s="28">
        <v>0.0</v>
      </c>
      <c r="AE26" s="28">
        <v>0.0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2">
        <f t="shared" si="1"/>
        <v>20</v>
      </c>
    </row>
    <row r="27" ht="15.75" customHeight="1">
      <c r="A27" s="29" t="s">
        <v>90</v>
      </c>
      <c r="B27" s="28">
        <v>10.0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8">
        <v>3.0</v>
      </c>
      <c r="W27" s="28">
        <v>2.0</v>
      </c>
      <c r="X27" s="28">
        <v>3.0</v>
      </c>
      <c r="Y27" s="28">
        <v>2.0</v>
      </c>
      <c r="Z27" s="28">
        <v>0.0</v>
      </c>
      <c r="AA27" s="28">
        <v>0.0</v>
      </c>
      <c r="AB27" s="28">
        <v>0.0</v>
      </c>
      <c r="AC27" s="28">
        <v>0.0</v>
      </c>
      <c r="AD27" s="28">
        <v>0.0</v>
      </c>
      <c r="AE27" s="28">
        <v>0.0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2">
        <f t="shared" si="1"/>
        <v>10</v>
      </c>
    </row>
    <row r="28" ht="15.75" customHeight="1">
      <c r="A28" s="27" t="s">
        <v>91</v>
      </c>
      <c r="B28" s="28">
        <v>10.0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8">
        <v>3.0</v>
      </c>
      <c r="W28" s="28">
        <v>3.0</v>
      </c>
      <c r="X28" s="28">
        <v>2.0</v>
      </c>
      <c r="Y28" s="28">
        <v>2.0</v>
      </c>
      <c r="Z28" s="28">
        <v>0.0</v>
      </c>
      <c r="AA28" s="28">
        <v>0.0</v>
      </c>
      <c r="AB28" s="28">
        <v>0.0</v>
      </c>
      <c r="AC28" s="28">
        <v>0.0</v>
      </c>
      <c r="AD28" s="28">
        <v>0.0</v>
      </c>
      <c r="AE28" s="28">
        <v>0.0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2">
        <f t="shared" si="1"/>
        <v>10</v>
      </c>
    </row>
    <row r="29" ht="15.75" customHeight="1">
      <c r="A29" s="27" t="s">
        <v>92</v>
      </c>
      <c r="B29" s="28">
        <v>16.0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8">
        <v>0.0</v>
      </c>
      <c r="W29" s="28">
        <v>0.0</v>
      </c>
      <c r="X29" s="28">
        <v>0.0</v>
      </c>
      <c r="Y29" s="28">
        <v>0.0</v>
      </c>
      <c r="Z29" s="28">
        <v>3.0</v>
      </c>
      <c r="AA29" s="28">
        <v>3.0</v>
      </c>
      <c r="AB29" s="28">
        <v>2.0</v>
      </c>
      <c r="AC29" s="28">
        <v>3.0</v>
      </c>
      <c r="AD29" s="28">
        <v>2.0</v>
      </c>
      <c r="AE29" s="28">
        <v>3.0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2">
        <f t="shared" si="1"/>
        <v>16</v>
      </c>
    </row>
    <row r="30" ht="15.75" customHeight="1">
      <c r="A30" s="27" t="s">
        <v>93</v>
      </c>
      <c r="B30" s="28">
        <v>18.0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8">
        <v>0.0</v>
      </c>
      <c r="W30" s="28">
        <v>0.0</v>
      </c>
      <c r="X30" s="28">
        <v>0.0</v>
      </c>
      <c r="Y30" s="28">
        <v>1.0</v>
      </c>
      <c r="Z30" s="28">
        <v>3.0</v>
      </c>
      <c r="AA30" s="28">
        <v>3.0</v>
      </c>
      <c r="AB30" s="28">
        <v>3.0</v>
      </c>
      <c r="AC30" s="28">
        <v>2.0</v>
      </c>
      <c r="AD30" s="28">
        <v>3.0</v>
      </c>
      <c r="AE30" s="28">
        <v>3.0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2">
        <f t="shared" si="1"/>
        <v>18</v>
      </c>
    </row>
    <row r="31" ht="15.75" customHeight="1">
      <c r="A31" s="29" t="s">
        <v>94</v>
      </c>
      <c r="B31" s="28">
        <v>6.0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8">
        <v>0.0</v>
      </c>
      <c r="W31" s="28">
        <v>0.0</v>
      </c>
      <c r="X31" s="28">
        <v>0.0</v>
      </c>
      <c r="Y31" s="28">
        <v>0.0</v>
      </c>
      <c r="Z31" s="28">
        <v>0.0</v>
      </c>
      <c r="AA31" s="28">
        <v>0.0</v>
      </c>
      <c r="AB31" s="28">
        <v>0.0</v>
      </c>
      <c r="AC31" s="28">
        <v>1.0</v>
      </c>
      <c r="AD31" s="28">
        <v>2.0</v>
      </c>
      <c r="AE31" s="28">
        <v>3.0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2">
        <f t="shared" si="1"/>
        <v>6</v>
      </c>
    </row>
    <row r="32" ht="15.75" customHeight="1">
      <c r="A32" s="30" t="s">
        <v>95</v>
      </c>
      <c r="B32" s="31">
        <v>10.0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31">
        <v>4.0</v>
      </c>
      <c r="AG32" s="31">
        <v>4.0</v>
      </c>
      <c r="AH32" s="31">
        <v>2.0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>
        <v>0.0</v>
      </c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2">
        <f t="shared" si="1"/>
        <v>10</v>
      </c>
    </row>
    <row r="33" ht="15.75" customHeight="1">
      <c r="A33" s="32" t="s">
        <v>96</v>
      </c>
      <c r="B33" s="31">
        <v>10.0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31">
        <v>4.0</v>
      </c>
      <c r="AG33" s="31">
        <v>4.0</v>
      </c>
      <c r="AH33" s="31">
        <v>2.0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N33" s="31">
        <v>0.0</v>
      </c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2">
        <f t="shared" si="1"/>
        <v>10</v>
      </c>
    </row>
    <row r="34" ht="15.75" customHeight="1">
      <c r="A34" s="32" t="s">
        <v>97</v>
      </c>
      <c r="B34" s="31">
        <v>4.0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31">
        <v>4.0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>
        <v>0.0</v>
      </c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2">
        <f t="shared" si="1"/>
        <v>4</v>
      </c>
    </row>
    <row r="35" ht="15.75" customHeight="1">
      <c r="A35" s="30" t="s">
        <v>98</v>
      </c>
      <c r="B35" s="31">
        <v>10.0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31">
        <v>0.0</v>
      </c>
      <c r="AG35" s="31">
        <v>4.0</v>
      </c>
      <c r="AH35" s="31">
        <v>5.0</v>
      </c>
      <c r="AI35" s="31">
        <v>1.0</v>
      </c>
      <c r="AJ35" s="31">
        <v>0.0</v>
      </c>
      <c r="AK35" s="31">
        <v>0.0</v>
      </c>
      <c r="AL35" s="31">
        <v>0.0</v>
      </c>
      <c r="AM35" s="31">
        <v>0.0</v>
      </c>
      <c r="AN35" s="31">
        <v>0.0</v>
      </c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2">
        <f t="shared" si="1"/>
        <v>10</v>
      </c>
    </row>
    <row r="36" ht="15.75" customHeight="1">
      <c r="A36" s="32" t="s">
        <v>99</v>
      </c>
      <c r="B36" s="31">
        <v>8.0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31">
        <v>0.0</v>
      </c>
      <c r="AG36" s="31">
        <v>0.0</v>
      </c>
      <c r="AH36" s="31">
        <v>3.0</v>
      </c>
      <c r="AI36" s="31">
        <v>4.0</v>
      </c>
      <c r="AJ36" s="31">
        <v>1.0</v>
      </c>
      <c r="AK36" s="31">
        <v>0.0</v>
      </c>
      <c r="AL36" s="31">
        <v>0.0</v>
      </c>
      <c r="AM36" s="31">
        <v>0.0</v>
      </c>
      <c r="AN36" s="31">
        <v>0.0</v>
      </c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2">
        <f t="shared" si="1"/>
        <v>8</v>
      </c>
    </row>
    <row r="37" ht="15.75" customHeight="1">
      <c r="A37" s="32" t="s">
        <v>100</v>
      </c>
      <c r="B37" s="31">
        <v>6.0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31">
        <v>0.0</v>
      </c>
      <c r="AG37" s="31">
        <v>0.0</v>
      </c>
      <c r="AH37" s="31">
        <v>2.0</v>
      </c>
      <c r="AI37" s="31">
        <v>4.0</v>
      </c>
      <c r="AJ37" s="31">
        <v>0.0</v>
      </c>
      <c r="AK37" s="31">
        <v>0.0</v>
      </c>
      <c r="AL37" s="31">
        <v>0.0</v>
      </c>
      <c r="AM37" s="31">
        <v>0.0</v>
      </c>
      <c r="AN37" s="31">
        <v>0.0</v>
      </c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2">
        <f t="shared" si="1"/>
        <v>6</v>
      </c>
    </row>
    <row r="38" ht="15.75" customHeight="1">
      <c r="A38" s="32" t="s">
        <v>101</v>
      </c>
      <c r="B38" s="31">
        <v>20.0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31">
        <v>0.0</v>
      </c>
      <c r="AG38" s="31">
        <v>0.0</v>
      </c>
      <c r="AH38" s="31">
        <v>0.0</v>
      </c>
      <c r="AI38" s="31">
        <v>0.0</v>
      </c>
      <c r="AJ38" s="31">
        <v>3.0</v>
      </c>
      <c r="AK38" s="31">
        <v>4.0</v>
      </c>
      <c r="AL38" s="31">
        <v>5.0</v>
      </c>
      <c r="AM38" s="31">
        <v>4.0</v>
      </c>
      <c r="AN38" s="31">
        <v>4.0</v>
      </c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2">
        <f t="shared" si="1"/>
        <v>20</v>
      </c>
    </row>
    <row r="39" ht="15.75" customHeight="1">
      <c r="A39" s="32" t="s">
        <v>102</v>
      </c>
      <c r="B39" s="31">
        <v>24.0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31">
        <v>0.0</v>
      </c>
      <c r="AG39" s="31">
        <v>0.0</v>
      </c>
      <c r="AH39" s="31">
        <v>0.0</v>
      </c>
      <c r="AI39" s="31">
        <v>3.0</v>
      </c>
      <c r="AJ39" s="31">
        <v>4.0</v>
      </c>
      <c r="AK39" s="31">
        <v>4.0</v>
      </c>
      <c r="AL39" s="31">
        <v>5.0</v>
      </c>
      <c r="AM39" s="31">
        <v>4.0</v>
      </c>
      <c r="AN39" s="31">
        <v>4.0</v>
      </c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2">
        <f t="shared" si="1"/>
        <v>24</v>
      </c>
    </row>
    <row r="40" ht="15.75" customHeight="1">
      <c r="A40" s="30" t="s">
        <v>103</v>
      </c>
      <c r="B40" s="31">
        <v>20.0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31">
        <v>0.0</v>
      </c>
      <c r="AG40" s="31">
        <v>0.0</v>
      </c>
      <c r="AH40" s="31">
        <v>0.0</v>
      </c>
      <c r="AI40" s="31">
        <v>0.0</v>
      </c>
      <c r="AJ40" s="31">
        <v>4.0</v>
      </c>
      <c r="AK40" s="31">
        <v>4.0</v>
      </c>
      <c r="AL40" s="31">
        <v>4.0</v>
      </c>
      <c r="AM40" s="31">
        <v>4.0</v>
      </c>
      <c r="AN40" s="31">
        <v>4.0</v>
      </c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2">
        <f t="shared" si="1"/>
        <v>20</v>
      </c>
    </row>
    <row r="41" ht="15.75" customHeight="1">
      <c r="A41" s="33" t="s">
        <v>104</v>
      </c>
      <c r="B41" s="34">
        <v>16.0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34">
        <v>3.0</v>
      </c>
      <c r="AP41" s="34">
        <v>3.0</v>
      </c>
      <c r="AQ41" s="34">
        <v>4.0</v>
      </c>
      <c r="AR41" s="34">
        <v>3.0</v>
      </c>
      <c r="AS41" s="34">
        <v>3.0</v>
      </c>
      <c r="AT41" s="34">
        <v>0.0</v>
      </c>
      <c r="AU41" s="34">
        <v>0.0</v>
      </c>
      <c r="AV41" s="34">
        <v>0.0</v>
      </c>
      <c r="AW41" s="34">
        <v>0.0</v>
      </c>
      <c r="AX41" s="34">
        <v>0.0</v>
      </c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2">
        <f t="shared" si="1"/>
        <v>16</v>
      </c>
    </row>
    <row r="42" ht="15.75" customHeight="1">
      <c r="A42" s="35" t="s">
        <v>105</v>
      </c>
      <c r="B42" s="34">
        <v>28.0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34">
        <v>4.0</v>
      </c>
      <c r="AP42" s="34">
        <v>3.0</v>
      </c>
      <c r="AQ42" s="34">
        <v>4.0</v>
      </c>
      <c r="AR42" s="34">
        <v>3.0</v>
      </c>
      <c r="AS42" s="34">
        <v>4.0</v>
      </c>
      <c r="AT42" s="34">
        <v>4.0</v>
      </c>
      <c r="AU42" s="34">
        <v>3.0</v>
      </c>
      <c r="AV42" s="34">
        <v>3.0</v>
      </c>
      <c r="AW42" s="34">
        <v>0.0</v>
      </c>
      <c r="AX42" s="34">
        <v>0.0</v>
      </c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2">
        <f t="shared" si="1"/>
        <v>28</v>
      </c>
    </row>
    <row r="43" ht="15.75" customHeight="1">
      <c r="A43" s="33" t="s">
        <v>106</v>
      </c>
      <c r="B43" s="34">
        <v>20.0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34">
        <v>4.0</v>
      </c>
      <c r="AP43" s="34">
        <v>3.0</v>
      </c>
      <c r="AQ43" s="34">
        <v>4.0</v>
      </c>
      <c r="AR43" s="34">
        <v>3.0</v>
      </c>
      <c r="AS43" s="34">
        <v>4.0</v>
      </c>
      <c r="AT43" s="34">
        <v>2.0</v>
      </c>
      <c r="AU43" s="34">
        <v>0.0</v>
      </c>
      <c r="AV43" s="34">
        <v>0.0</v>
      </c>
      <c r="AW43" s="34">
        <v>0.0</v>
      </c>
      <c r="AX43" s="34">
        <v>0.0</v>
      </c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2">
        <f t="shared" si="1"/>
        <v>20</v>
      </c>
    </row>
    <row r="44" ht="15.75" customHeight="1">
      <c r="A44" s="35" t="s">
        <v>107</v>
      </c>
      <c r="B44" s="34">
        <v>4.0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34">
        <v>0.0</v>
      </c>
      <c r="AP44" s="34">
        <v>0.0</v>
      </c>
      <c r="AQ44" s="34">
        <v>0.0</v>
      </c>
      <c r="AR44" s="34">
        <v>0.0</v>
      </c>
      <c r="AS44" s="34">
        <v>0.0</v>
      </c>
      <c r="AT44" s="34">
        <v>2.0</v>
      </c>
      <c r="AU44" s="34">
        <v>2.0</v>
      </c>
      <c r="AV44" s="34">
        <v>0.0</v>
      </c>
      <c r="AW44" s="34">
        <v>0.0</v>
      </c>
      <c r="AX44" s="34">
        <v>0.0</v>
      </c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2">
        <f t="shared" si="1"/>
        <v>4</v>
      </c>
    </row>
    <row r="45" ht="15.75" customHeight="1">
      <c r="A45" s="33" t="s">
        <v>108</v>
      </c>
      <c r="B45" s="34">
        <v>12.0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34">
        <v>0.0</v>
      </c>
      <c r="AP45" s="34">
        <v>0.0</v>
      </c>
      <c r="AQ45" s="34">
        <v>0.0</v>
      </c>
      <c r="AR45" s="34">
        <v>0.0</v>
      </c>
      <c r="AS45" s="34">
        <v>0.0</v>
      </c>
      <c r="AT45" s="34">
        <v>3.0</v>
      </c>
      <c r="AU45" s="34">
        <v>3.0</v>
      </c>
      <c r="AV45" s="34">
        <v>4.0</v>
      </c>
      <c r="AW45" s="34">
        <v>2.0</v>
      </c>
      <c r="AX45" s="34">
        <v>0.0</v>
      </c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2">
        <f t="shared" si="1"/>
        <v>12</v>
      </c>
    </row>
    <row r="46" ht="15.75" customHeight="1">
      <c r="A46" s="35" t="s">
        <v>109</v>
      </c>
      <c r="B46" s="34">
        <v>8.0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34">
        <v>0.0</v>
      </c>
      <c r="AP46" s="34">
        <v>0.0</v>
      </c>
      <c r="AQ46" s="34">
        <v>0.0</v>
      </c>
      <c r="AR46" s="34">
        <v>0.0</v>
      </c>
      <c r="AS46" s="34">
        <v>0.0</v>
      </c>
      <c r="AT46" s="34">
        <v>0.0</v>
      </c>
      <c r="AU46" s="34">
        <v>1.0</v>
      </c>
      <c r="AV46" s="34">
        <v>4.0</v>
      </c>
      <c r="AW46" s="34">
        <v>3.0</v>
      </c>
      <c r="AX46" s="34">
        <v>0.0</v>
      </c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2">
        <f t="shared" si="1"/>
        <v>8</v>
      </c>
    </row>
    <row r="47" ht="15.75" customHeight="1">
      <c r="A47" s="33" t="s">
        <v>110</v>
      </c>
      <c r="B47" s="34">
        <v>8.0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34">
        <v>0.0</v>
      </c>
      <c r="AP47" s="34">
        <v>0.0</v>
      </c>
      <c r="AQ47" s="34">
        <v>0.0</v>
      </c>
      <c r="AR47" s="34">
        <v>0.0</v>
      </c>
      <c r="AS47" s="34">
        <v>0.0</v>
      </c>
      <c r="AT47" s="34">
        <v>0.0</v>
      </c>
      <c r="AU47" s="34">
        <v>0.0</v>
      </c>
      <c r="AV47" s="34">
        <v>1.0</v>
      </c>
      <c r="AW47" s="34">
        <v>3.0</v>
      </c>
      <c r="AX47" s="34">
        <v>4.0</v>
      </c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2">
        <f t="shared" si="1"/>
        <v>8</v>
      </c>
    </row>
    <row r="48" ht="15.75" customHeight="1">
      <c r="A48" s="35" t="s">
        <v>111</v>
      </c>
      <c r="B48" s="34">
        <v>4.0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34">
        <v>0.0</v>
      </c>
      <c r="AP48" s="34">
        <v>0.0</v>
      </c>
      <c r="AQ48" s="34">
        <v>0.0</v>
      </c>
      <c r="AR48" s="34">
        <v>0.0</v>
      </c>
      <c r="AS48" s="34">
        <v>0.0</v>
      </c>
      <c r="AT48" s="34">
        <v>0.0</v>
      </c>
      <c r="AU48" s="34">
        <v>0.0</v>
      </c>
      <c r="AV48" s="34">
        <v>0.0</v>
      </c>
      <c r="AW48" s="34">
        <v>1.0</v>
      </c>
      <c r="AX48" s="34">
        <v>3.0</v>
      </c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2">
        <f t="shared" si="1"/>
        <v>4</v>
      </c>
    </row>
    <row r="49" ht="15.75" customHeight="1">
      <c r="A49" s="33" t="s">
        <v>112</v>
      </c>
      <c r="B49" s="34">
        <v>4.0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34">
        <v>0.0</v>
      </c>
      <c r="AP49" s="34">
        <v>0.0</v>
      </c>
      <c r="AQ49" s="34">
        <v>0.0</v>
      </c>
      <c r="AR49" s="34">
        <v>0.0</v>
      </c>
      <c r="AS49" s="34">
        <v>0.0</v>
      </c>
      <c r="AT49" s="34">
        <v>0.0</v>
      </c>
      <c r="AU49" s="34">
        <v>0.0</v>
      </c>
      <c r="AV49" s="34">
        <v>0.0</v>
      </c>
      <c r="AW49" s="34">
        <v>0.0</v>
      </c>
      <c r="AX49" s="34">
        <v>4.0</v>
      </c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2">
        <f t="shared" si="1"/>
        <v>4</v>
      </c>
    </row>
    <row r="50" ht="15.75" customHeight="1">
      <c r="A50" s="36" t="s">
        <v>113</v>
      </c>
      <c r="B50" s="37">
        <v>48.0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37">
        <v>5.0</v>
      </c>
      <c r="AZ50" s="37">
        <v>6.0</v>
      </c>
      <c r="BA50" s="37">
        <v>5.0</v>
      </c>
      <c r="BB50" s="37">
        <v>5.0</v>
      </c>
      <c r="BC50" s="37">
        <v>5.0</v>
      </c>
      <c r="BD50" s="37">
        <v>6.0</v>
      </c>
      <c r="BE50" s="37">
        <v>5.0</v>
      </c>
      <c r="BF50" s="37">
        <v>5.0</v>
      </c>
      <c r="BG50" s="37">
        <v>6.0</v>
      </c>
      <c r="BH50" s="37">
        <v>0.0</v>
      </c>
      <c r="BI50" s="22">
        <f t="shared" si="1"/>
        <v>48</v>
      </c>
    </row>
    <row r="51" ht="15.75" customHeight="1">
      <c r="A51" s="38" t="s">
        <v>114</v>
      </c>
      <c r="B51" s="37">
        <v>16.0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37">
        <v>5.0</v>
      </c>
      <c r="AZ51" s="37">
        <v>6.0</v>
      </c>
      <c r="BA51" s="37">
        <v>5.0</v>
      </c>
      <c r="BB51" s="37">
        <v>0.0</v>
      </c>
      <c r="BC51" s="37">
        <v>0.0</v>
      </c>
      <c r="BD51" s="37">
        <v>0.0</v>
      </c>
      <c r="BE51" s="37">
        <v>0.0</v>
      </c>
      <c r="BF51" s="37">
        <v>0.0</v>
      </c>
      <c r="BG51" s="37">
        <v>0.0</v>
      </c>
      <c r="BH51" s="37">
        <v>0.0</v>
      </c>
      <c r="BI51" s="22">
        <f t="shared" si="1"/>
        <v>16</v>
      </c>
    </row>
    <row r="52" ht="15.75" customHeight="1">
      <c r="A52" s="38" t="s">
        <v>115</v>
      </c>
      <c r="B52" s="37">
        <v>14.0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37">
        <v>5.0</v>
      </c>
      <c r="AZ52" s="37">
        <v>6.0</v>
      </c>
      <c r="BA52" s="37">
        <v>3.0</v>
      </c>
      <c r="BB52" s="37">
        <v>0.0</v>
      </c>
      <c r="BC52" s="37">
        <v>0.0</v>
      </c>
      <c r="BD52" s="37">
        <v>0.0</v>
      </c>
      <c r="BE52" s="37">
        <v>0.0</v>
      </c>
      <c r="BF52" s="37">
        <v>0.0</v>
      </c>
      <c r="BG52" s="37">
        <v>0.0</v>
      </c>
      <c r="BH52" s="37">
        <v>0.0</v>
      </c>
      <c r="BI52" s="22">
        <f t="shared" si="1"/>
        <v>14</v>
      </c>
    </row>
    <row r="53" ht="15.75" customHeight="1">
      <c r="A53" s="36" t="s">
        <v>116</v>
      </c>
      <c r="B53" s="37">
        <v>12.0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37">
        <v>0.0</v>
      </c>
      <c r="AZ53" s="37">
        <v>0.0</v>
      </c>
      <c r="BA53" s="37">
        <v>0.0</v>
      </c>
      <c r="BB53" s="37">
        <v>5.0</v>
      </c>
      <c r="BC53" s="37">
        <v>5.0</v>
      </c>
      <c r="BD53" s="37">
        <v>2.0</v>
      </c>
      <c r="BE53" s="37">
        <v>0.0</v>
      </c>
      <c r="BF53" s="37">
        <v>0.0</v>
      </c>
      <c r="BG53" s="37">
        <v>0.0</v>
      </c>
      <c r="BH53" s="37">
        <v>0.0</v>
      </c>
      <c r="BI53" s="22">
        <f t="shared" si="1"/>
        <v>12</v>
      </c>
    </row>
    <row r="54" ht="15.75" customHeight="1">
      <c r="A54" s="36" t="s">
        <v>117</v>
      </c>
      <c r="B54" s="37">
        <v>14.0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37">
        <v>0.0</v>
      </c>
      <c r="AZ54" s="37">
        <v>0.0</v>
      </c>
      <c r="BA54" s="37">
        <v>0.0</v>
      </c>
      <c r="BB54" s="37">
        <v>0.0</v>
      </c>
      <c r="BC54" s="37">
        <v>0.0</v>
      </c>
      <c r="BD54" s="37">
        <v>4.0</v>
      </c>
      <c r="BE54" s="37">
        <v>5.0</v>
      </c>
      <c r="BF54" s="37">
        <v>5.0</v>
      </c>
      <c r="BG54" s="37">
        <v>0.0</v>
      </c>
      <c r="BH54" s="37">
        <v>0.0</v>
      </c>
      <c r="BI54" s="22">
        <f t="shared" si="1"/>
        <v>14</v>
      </c>
    </row>
    <row r="55" ht="15.75" customHeight="1">
      <c r="A55" s="36" t="s">
        <v>118</v>
      </c>
      <c r="B55" s="37">
        <v>15.0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37">
        <v>0.0</v>
      </c>
      <c r="AZ55" s="37">
        <v>0.0</v>
      </c>
      <c r="BA55" s="37">
        <v>2.0</v>
      </c>
      <c r="BB55" s="37">
        <v>6.0</v>
      </c>
      <c r="BC55" s="37">
        <v>5.0</v>
      </c>
      <c r="BD55" s="37">
        <v>2.0</v>
      </c>
      <c r="BE55" s="37">
        <v>0.0</v>
      </c>
      <c r="BF55" s="37">
        <v>0.0</v>
      </c>
      <c r="BG55" s="37">
        <v>0.0</v>
      </c>
      <c r="BH55" s="37">
        <v>0.0</v>
      </c>
      <c r="BI55" s="22">
        <f t="shared" si="1"/>
        <v>15</v>
      </c>
    </row>
    <row r="56" ht="15.75" customHeight="1">
      <c r="A56" s="38" t="s">
        <v>119</v>
      </c>
      <c r="B56" s="37">
        <v>11.0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37">
        <v>0.0</v>
      </c>
      <c r="AZ56" s="37">
        <v>0.0</v>
      </c>
      <c r="BA56" s="37">
        <v>0.0</v>
      </c>
      <c r="BB56" s="37">
        <v>0.0</v>
      </c>
      <c r="BC56" s="37">
        <v>0.0</v>
      </c>
      <c r="BD56" s="37">
        <v>0.0</v>
      </c>
      <c r="BE56" s="37">
        <v>0.0</v>
      </c>
      <c r="BF56" s="37">
        <v>0.0</v>
      </c>
      <c r="BG56" s="37">
        <v>6.0</v>
      </c>
      <c r="BH56" s="37">
        <v>5.0</v>
      </c>
      <c r="BI56" s="22">
        <f t="shared" si="1"/>
        <v>11</v>
      </c>
    </row>
    <row r="57" ht="15.75" customHeight="1">
      <c r="A57" s="36" t="s">
        <v>120</v>
      </c>
      <c r="B57" s="37">
        <v>14.0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37">
        <v>0.0</v>
      </c>
      <c r="AZ57" s="37">
        <v>0.0</v>
      </c>
      <c r="BA57" s="37">
        <v>0.0</v>
      </c>
      <c r="BB57" s="37">
        <v>0.0</v>
      </c>
      <c r="BC57" s="37">
        <v>0.0</v>
      </c>
      <c r="BD57" s="37">
        <v>3.0</v>
      </c>
      <c r="BE57" s="37">
        <v>6.0</v>
      </c>
      <c r="BF57" s="37">
        <v>5.0</v>
      </c>
      <c r="BG57" s="37">
        <v>0.0</v>
      </c>
      <c r="BH57" s="37">
        <v>0.0</v>
      </c>
      <c r="BI57" s="22">
        <f t="shared" si="1"/>
        <v>14</v>
      </c>
    </row>
    <row r="58" ht="15.75" customHeight="1">
      <c r="A58" s="36" t="s">
        <v>121</v>
      </c>
      <c r="B58" s="37">
        <v>5.0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37">
        <v>0.0</v>
      </c>
      <c r="AZ58" s="37">
        <v>0.0</v>
      </c>
      <c r="BA58" s="37">
        <v>0.0</v>
      </c>
      <c r="BB58" s="37">
        <v>0.0</v>
      </c>
      <c r="BC58" s="37">
        <v>0.0</v>
      </c>
      <c r="BD58" s="37">
        <v>0.0</v>
      </c>
      <c r="BE58" s="37">
        <v>0.0</v>
      </c>
      <c r="BF58" s="37">
        <v>0.0</v>
      </c>
      <c r="BG58" s="37">
        <v>0.0</v>
      </c>
      <c r="BH58" s="37">
        <v>5.0</v>
      </c>
      <c r="BI58" s="22">
        <f t="shared" si="1"/>
        <v>5</v>
      </c>
    </row>
    <row r="59" ht="15.75" customHeight="1">
      <c r="A59" s="38" t="s">
        <v>122</v>
      </c>
      <c r="B59" s="37">
        <v>5.0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37">
        <v>0.0</v>
      </c>
      <c r="AZ59" s="37">
        <v>0.0</v>
      </c>
      <c r="BA59" s="37">
        <v>0.0</v>
      </c>
      <c r="BB59" s="37">
        <v>0.0</v>
      </c>
      <c r="BC59" s="37">
        <v>0.0</v>
      </c>
      <c r="BD59" s="37">
        <v>0.0</v>
      </c>
      <c r="BE59" s="37">
        <v>0.0</v>
      </c>
      <c r="BF59" s="37">
        <v>0.0</v>
      </c>
      <c r="BG59" s="37">
        <v>5.0</v>
      </c>
      <c r="BH59" s="37">
        <v>0.0</v>
      </c>
      <c r="BI59" s="22">
        <f t="shared" si="1"/>
        <v>5</v>
      </c>
    </row>
    <row r="60" ht="15.75" customHeight="1">
      <c r="A60" s="38" t="s">
        <v>123</v>
      </c>
      <c r="B60" s="37">
        <v>6.0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37">
        <v>0.0</v>
      </c>
      <c r="AZ60" s="37">
        <v>0.0</v>
      </c>
      <c r="BA60" s="37">
        <v>0.0</v>
      </c>
      <c r="BB60" s="37">
        <v>0.0</v>
      </c>
      <c r="BC60" s="37">
        <v>0.0</v>
      </c>
      <c r="BD60" s="37">
        <v>0.0</v>
      </c>
      <c r="BE60" s="37">
        <v>0.0</v>
      </c>
      <c r="BF60" s="37">
        <v>0.0</v>
      </c>
      <c r="BG60" s="37">
        <v>1.0</v>
      </c>
      <c r="BH60" s="37">
        <v>5.0</v>
      </c>
      <c r="BI60" s="22">
        <f t="shared" si="1"/>
        <v>6</v>
      </c>
    </row>
    <row r="61" ht="15.75" customHeight="1">
      <c r="A61" s="39" t="s">
        <v>124</v>
      </c>
      <c r="B61" s="39">
        <f>SUM(B5:B60)</f>
        <v>600</v>
      </c>
    </row>
    <row r="62" ht="15.75" customHeight="1">
      <c r="A62" s="39" t="s">
        <v>125</v>
      </c>
      <c r="B62" s="40">
        <f>SUM(C62:BH62)</f>
        <v>1392</v>
      </c>
      <c r="C62" s="41">
        <v>24.0</v>
      </c>
      <c r="D62" s="41">
        <v>24.0</v>
      </c>
      <c r="E62" s="41">
        <v>24.0</v>
      </c>
      <c r="F62" s="41">
        <v>24.0</v>
      </c>
      <c r="G62" s="41">
        <v>24.0</v>
      </c>
      <c r="H62" s="41">
        <v>24.0</v>
      </c>
      <c r="I62" s="41">
        <v>24.0</v>
      </c>
      <c r="J62" s="41">
        <v>24.0</v>
      </c>
      <c r="K62" s="41">
        <v>24.0</v>
      </c>
      <c r="L62" s="41">
        <v>24.0</v>
      </c>
      <c r="M62" s="41">
        <v>24.0</v>
      </c>
      <c r="N62" s="41">
        <v>24.0</v>
      </c>
      <c r="O62" s="41">
        <v>24.0</v>
      </c>
      <c r="P62" s="41">
        <v>24.0</v>
      </c>
      <c r="Q62" s="41">
        <v>24.0</v>
      </c>
      <c r="R62" s="41">
        <v>24.0</v>
      </c>
      <c r="S62" s="41">
        <v>24.0</v>
      </c>
      <c r="T62" s="41">
        <v>24.0</v>
      </c>
      <c r="U62" s="41">
        <v>24.0</v>
      </c>
      <c r="V62" s="41">
        <v>24.0</v>
      </c>
      <c r="W62" s="41">
        <v>24.0</v>
      </c>
      <c r="X62" s="41">
        <v>24.0</v>
      </c>
      <c r="Y62" s="41">
        <v>24.0</v>
      </c>
      <c r="Z62" s="41">
        <v>24.0</v>
      </c>
      <c r="AA62" s="41">
        <v>24.0</v>
      </c>
      <c r="AB62" s="41">
        <v>24.0</v>
      </c>
      <c r="AC62" s="41">
        <v>24.0</v>
      </c>
      <c r="AD62" s="41">
        <v>24.0</v>
      </c>
      <c r="AE62" s="41">
        <v>24.0</v>
      </c>
      <c r="AF62" s="41">
        <v>24.0</v>
      </c>
      <c r="AG62" s="41">
        <v>24.0</v>
      </c>
      <c r="AH62" s="41">
        <v>24.0</v>
      </c>
      <c r="AI62" s="41">
        <v>24.0</v>
      </c>
      <c r="AJ62" s="41">
        <v>24.0</v>
      </c>
      <c r="AK62" s="41">
        <v>24.0</v>
      </c>
      <c r="AL62" s="41">
        <v>24.0</v>
      </c>
      <c r="AM62" s="41">
        <v>24.0</v>
      </c>
      <c r="AN62" s="41">
        <v>24.0</v>
      </c>
      <c r="AO62" s="41">
        <v>24.0</v>
      </c>
      <c r="AP62" s="41">
        <v>24.0</v>
      </c>
      <c r="AQ62" s="41">
        <v>24.0</v>
      </c>
      <c r="AR62" s="41">
        <v>24.0</v>
      </c>
      <c r="AS62" s="41">
        <v>24.0</v>
      </c>
      <c r="AT62" s="41">
        <v>24.0</v>
      </c>
      <c r="AU62" s="41">
        <v>24.0</v>
      </c>
      <c r="AV62" s="41">
        <v>24.0</v>
      </c>
      <c r="AW62" s="41">
        <v>24.0</v>
      </c>
      <c r="AX62" s="41">
        <v>24.0</v>
      </c>
      <c r="AY62" s="41">
        <v>24.0</v>
      </c>
      <c r="AZ62" s="41">
        <v>24.0</v>
      </c>
      <c r="BA62" s="41">
        <v>24.0</v>
      </c>
      <c r="BB62" s="41">
        <v>24.0</v>
      </c>
      <c r="BC62" s="41">
        <v>24.0</v>
      </c>
      <c r="BD62" s="41">
        <v>24.0</v>
      </c>
      <c r="BE62" s="41">
        <v>24.0</v>
      </c>
      <c r="BF62" s="41">
        <v>24.0</v>
      </c>
      <c r="BG62" s="41">
        <v>24.0</v>
      </c>
      <c r="BH62" s="41">
        <v>24.0</v>
      </c>
      <c r="BI62" s="40">
        <f>SUM(C62:BH62)</f>
        <v>1392</v>
      </c>
    </row>
    <row r="63" ht="15.75" customHeight="1"/>
    <row r="64" ht="15.75" customHeight="1">
      <c r="B64" s="42">
        <f>SUM(B5:B60)</f>
        <v>600</v>
      </c>
      <c r="C64" s="42">
        <f>B64</f>
        <v>600</v>
      </c>
      <c r="D64" s="42">
        <f t="shared" ref="D64:BI64" si="2">C64-SUM(C5:C60)</f>
        <v>594</v>
      </c>
      <c r="E64" s="42">
        <f t="shared" si="2"/>
        <v>586</v>
      </c>
      <c r="F64" s="42">
        <f t="shared" si="2"/>
        <v>579</v>
      </c>
      <c r="G64" s="42">
        <f t="shared" si="2"/>
        <v>571</v>
      </c>
      <c r="H64" s="42">
        <f t="shared" si="2"/>
        <v>565</v>
      </c>
      <c r="I64" s="42">
        <f t="shared" si="2"/>
        <v>557</v>
      </c>
      <c r="J64" s="42">
        <f t="shared" si="2"/>
        <v>550</v>
      </c>
      <c r="K64" s="42">
        <f t="shared" si="2"/>
        <v>542</v>
      </c>
      <c r="L64" s="42">
        <f t="shared" si="2"/>
        <v>536</v>
      </c>
      <c r="M64" s="42">
        <f t="shared" si="2"/>
        <v>528</v>
      </c>
      <c r="N64" s="42">
        <f t="shared" si="2"/>
        <v>519</v>
      </c>
      <c r="O64" s="42">
        <f t="shared" si="2"/>
        <v>513</v>
      </c>
      <c r="P64" s="42">
        <f t="shared" si="2"/>
        <v>504</v>
      </c>
      <c r="Q64" s="42">
        <f t="shared" si="2"/>
        <v>496</v>
      </c>
      <c r="R64" s="42">
        <f t="shared" si="2"/>
        <v>488</v>
      </c>
      <c r="S64" s="42">
        <f t="shared" si="2"/>
        <v>479</v>
      </c>
      <c r="T64" s="42">
        <f t="shared" si="2"/>
        <v>473</v>
      </c>
      <c r="U64" s="42">
        <f t="shared" si="2"/>
        <v>464</v>
      </c>
      <c r="V64" s="42">
        <f t="shared" si="2"/>
        <v>456</v>
      </c>
      <c r="W64" s="42">
        <f t="shared" si="2"/>
        <v>447</v>
      </c>
      <c r="X64" s="42">
        <f t="shared" si="2"/>
        <v>440</v>
      </c>
      <c r="Y64" s="42">
        <f t="shared" si="2"/>
        <v>432</v>
      </c>
      <c r="Z64" s="42">
        <f t="shared" si="2"/>
        <v>425</v>
      </c>
      <c r="AA64" s="42">
        <f t="shared" si="2"/>
        <v>416</v>
      </c>
      <c r="AB64" s="42">
        <f t="shared" si="2"/>
        <v>407</v>
      </c>
      <c r="AC64" s="42">
        <f t="shared" si="2"/>
        <v>400</v>
      </c>
      <c r="AD64" s="42">
        <f t="shared" si="2"/>
        <v>392</v>
      </c>
      <c r="AE64" s="42">
        <f t="shared" si="2"/>
        <v>385</v>
      </c>
      <c r="AF64" s="42">
        <f t="shared" si="2"/>
        <v>376</v>
      </c>
      <c r="AG64" s="42">
        <f t="shared" si="2"/>
        <v>364</v>
      </c>
      <c r="AH64" s="42">
        <f t="shared" si="2"/>
        <v>352</v>
      </c>
      <c r="AI64" s="42">
        <f t="shared" si="2"/>
        <v>338</v>
      </c>
      <c r="AJ64" s="42">
        <f t="shared" si="2"/>
        <v>326</v>
      </c>
      <c r="AK64" s="42">
        <f t="shared" si="2"/>
        <v>314</v>
      </c>
      <c r="AL64" s="42">
        <f t="shared" si="2"/>
        <v>302</v>
      </c>
      <c r="AM64" s="42">
        <f t="shared" si="2"/>
        <v>288</v>
      </c>
      <c r="AN64" s="42">
        <f t="shared" si="2"/>
        <v>276</v>
      </c>
      <c r="AO64" s="42">
        <f t="shared" si="2"/>
        <v>264</v>
      </c>
      <c r="AP64" s="42">
        <f t="shared" si="2"/>
        <v>253</v>
      </c>
      <c r="AQ64" s="42">
        <f t="shared" si="2"/>
        <v>244</v>
      </c>
      <c r="AR64" s="42">
        <f t="shared" si="2"/>
        <v>232</v>
      </c>
      <c r="AS64" s="42">
        <f t="shared" si="2"/>
        <v>223</v>
      </c>
      <c r="AT64" s="42">
        <f t="shared" si="2"/>
        <v>212</v>
      </c>
      <c r="AU64" s="42">
        <f t="shared" si="2"/>
        <v>201</v>
      </c>
      <c r="AV64" s="42">
        <f t="shared" si="2"/>
        <v>192</v>
      </c>
      <c r="AW64" s="42">
        <f t="shared" si="2"/>
        <v>180</v>
      </c>
      <c r="AX64" s="42">
        <f t="shared" si="2"/>
        <v>171</v>
      </c>
      <c r="AY64" s="42">
        <f t="shared" si="2"/>
        <v>160</v>
      </c>
      <c r="AZ64" s="42">
        <f t="shared" si="2"/>
        <v>145</v>
      </c>
      <c r="BA64" s="42">
        <f t="shared" si="2"/>
        <v>127</v>
      </c>
      <c r="BB64" s="42">
        <f t="shared" si="2"/>
        <v>112</v>
      </c>
      <c r="BC64" s="42">
        <f t="shared" si="2"/>
        <v>96</v>
      </c>
      <c r="BD64" s="42">
        <f t="shared" si="2"/>
        <v>81</v>
      </c>
      <c r="BE64" s="42">
        <f t="shared" si="2"/>
        <v>64</v>
      </c>
      <c r="BF64" s="42">
        <f t="shared" si="2"/>
        <v>48</v>
      </c>
      <c r="BG64" s="42">
        <f t="shared" si="2"/>
        <v>33</v>
      </c>
      <c r="BH64" s="42">
        <f t="shared" si="2"/>
        <v>15</v>
      </c>
      <c r="BI64" s="42">
        <f t="shared" si="2"/>
        <v>0</v>
      </c>
    </row>
    <row r="65" ht="15.75" customHeight="1">
      <c r="A65" s="39" t="s">
        <v>126</v>
      </c>
      <c r="C65" s="40">
        <f t="shared" ref="C65:BH65" si="3">D64</f>
        <v>594</v>
      </c>
      <c r="D65" s="40">
        <f t="shared" si="3"/>
        <v>586</v>
      </c>
      <c r="E65" s="40">
        <f t="shared" si="3"/>
        <v>579</v>
      </c>
      <c r="F65" s="40">
        <f t="shared" si="3"/>
        <v>571</v>
      </c>
      <c r="G65" s="40">
        <f t="shared" si="3"/>
        <v>565</v>
      </c>
      <c r="H65" s="40">
        <f t="shared" si="3"/>
        <v>557</v>
      </c>
      <c r="I65" s="40">
        <f t="shared" si="3"/>
        <v>550</v>
      </c>
      <c r="J65" s="40">
        <f t="shared" si="3"/>
        <v>542</v>
      </c>
      <c r="K65" s="40">
        <f t="shared" si="3"/>
        <v>536</v>
      </c>
      <c r="L65" s="40">
        <f t="shared" si="3"/>
        <v>528</v>
      </c>
      <c r="M65" s="40">
        <f t="shared" si="3"/>
        <v>519</v>
      </c>
      <c r="N65" s="40">
        <f t="shared" si="3"/>
        <v>513</v>
      </c>
      <c r="O65" s="40">
        <f t="shared" si="3"/>
        <v>504</v>
      </c>
      <c r="P65" s="40">
        <f t="shared" si="3"/>
        <v>496</v>
      </c>
      <c r="Q65" s="40">
        <f t="shared" si="3"/>
        <v>488</v>
      </c>
      <c r="R65" s="40">
        <f t="shared" si="3"/>
        <v>479</v>
      </c>
      <c r="S65" s="40">
        <f t="shared" si="3"/>
        <v>473</v>
      </c>
      <c r="T65" s="40">
        <f t="shared" si="3"/>
        <v>464</v>
      </c>
      <c r="U65" s="40">
        <f t="shared" si="3"/>
        <v>456</v>
      </c>
      <c r="V65" s="40">
        <f t="shared" si="3"/>
        <v>447</v>
      </c>
      <c r="W65" s="40">
        <f t="shared" si="3"/>
        <v>440</v>
      </c>
      <c r="X65" s="40">
        <f t="shared" si="3"/>
        <v>432</v>
      </c>
      <c r="Y65" s="40">
        <f t="shared" si="3"/>
        <v>425</v>
      </c>
      <c r="Z65" s="40">
        <f t="shared" si="3"/>
        <v>416</v>
      </c>
      <c r="AA65" s="40">
        <f t="shared" si="3"/>
        <v>407</v>
      </c>
      <c r="AB65" s="40">
        <f t="shared" si="3"/>
        <v>400</v>
      </c>
      <c r="AC65" s="40">
        <f t="shared" si="3"/>
        <v>392</v>
      </c>
      <c r="AD65" s="40">
        <f t="shared" si="3"/>
        <v>385</v>
      </c>
      <c r="AE65" s="40">
        <f t="shared" si="3"/>
        <v>376</v>
      </c>
      <c r="AF65" s="40">
        <f t="shared" si="3"/>
        <v>364</v>
      </c>
      <c r="AG65" s="40">
        <f t="shared" si="3"/>
        <v>352</v>
      </c>
      <c r="AH65" s="40">
        <f t="shared" si="3"/>
        <v>338</v>
      </c>
      <c r="AI65" s="40">
        <f t="shared" si="3"/>
        <v>326</v>
      </c>
      <c r="AJ65" s="40">
        <f t="shared" si="3"/>
        <v>314</v>
      </c>
      <c r="AK65" s="40">
        <f t="shared" si="3"/>
        <v>302</v>
      </c>
      <c r="AL65" s="40">
        <f t="shared" si="3"/>
        <v>288</v>
      </c>
      <c r="AM65" s="40">
        <f t="shared" si="3"/>
        <v>276</v>
      </c>
      <c r="AN65" s="40">
        <f t="shared" si="3"/>
        <v>264</v>
      </c>
      <c r="AO65" s="40">
        <f t="shared" si="3"/>
        <v>253</v>
      </c>
      <c r="AP65" s="40">
        <f t="shared" si="3"/>
        <v>244</v>
      </c>
      <c r="AQ65" s="40">
        <f t="shared" si="3"/>
        <v>232</v>
      </c>
      <c r="AR65" s="40">
        <f t="shared" si="3"/>
        <v>223</v>
      </c>
      <c r="AS65" s="40">
        <f t="shared" si="3"/>
        <v>212</v>
      </c>
      <c r="AT65" s="40">
        <f t="shared" si="3"/>
        <v>201</v>
      </c>
      <c r="AU65" s="40">
        <f t="shared" si="3"/>
        <v>192</v>
      </c>
      <c r="AV65" s="40">
        <f t="shared" si="3"/>
        <v>180</v>
      </c>
      <c r="AW65" s="40">
        <f t="shared" si="3"/>
        <v>171</v>
      </c>
      <c r="AX65" s="40">
        <f t="shared" si="3"/>
        <v>160</v>
      </c>
      <c r="AY65" s="40">
        <f t="shared" si="3"/>
        <v>145</v>
      </c>
      <c r="AZ65" s="40">
        <f t="shared" si="3"/>
        <v>127</v>
      </c>
      <c r="BA65" s="40">
        <f t="shared" si="3"/>
        <v>112</v>
      </c>
      <c r="BB65" s="40">
        <f t="shared" si="3"/>
        <v>96</v>
      </c>
      <c r="BC65" s="40">
        <f t="shared" si="3"/>
        <v>81</v>
      </c>
      <c r="BD65" s="40">
        <f t="shared" si="3"/>
        <v>64</v>
      </c>
      <c r="BE65" s="40">
        <f t="shared" si="3"/>
        <v>48</v>
      </c>
      <c r="BF65" s="40">
        <f t="shared" si="3"/>
        <v>33</v>
      </c>
      <c r="BG65" s="40">
        <f t="shared" si="3"/>
        <v>15</v>
      </c>
      <c r="BH65" s="40">
        <f t="shared" si="3"/>
        <v>0</v>
      </c>
    </row>
    <row r="66" ht="15.75" customHeight="1">
      <c r="B66" s="42">
        <f>SUM(B5:B60)</f>
        <v>600</v>
      </c>
      <c r="C66" s="42">
        <f>B66</f>
        <v>600</v>
      </c>
      <c r="D66" s="42">
        <f>C66-SUM(B5:B60)/58</f>
        <v>589.6551724</v>
      </c>
      <c r="E66" s="42">
        <f>D66-SUM(B5:B60)/58</f>
        <v>579.3103448</v>
      </c>
      <c r="F66" s="42">
        <f>E66-SUM(B5:B60)/58</f>
        <v>568.9655172</v>
      </c>
      <c r="G66" s="42">
        <f>F66-SUM(B5:B60)/58</f>
        <v>558.6206897</v>
      </c>
      <c r="H66" s="42">
        <f>G66-SUM(B5:B60)/58</f>
        <v>548.2758621</v>
      </c>
      <c r="I66" s="42">
        <f>H66-SUM(B5:B60)/58</f>
        <v>537.9310345</v>
      </c>
      <c r="J66" s="42">
        <f>I66-SUM(B5:B60)/58</f>
        <v>527.5862069</v>
      </c>
      <c r="K66" s="42">
        <f>J66-SUM(B5:B60)/58</f>
        <v>517.2413793</v>
      </c>
      <c r="L66" s="42">
        <f>K66-SUM(B5:B60)/58</f>
        <v>506.8965517</v>
      </c>
      <c r="M66" s="42">
        <f>L66-SUM(B5:B60)/58</f>
        <v>496.5517241</v>
      </c>
      <c r="N66" s="42">
        <f>M66-SUM(B5:B60)/58</f>
        <v>486.2068966</v>
      </c>
      <c r="O66" s="42">
        <f>N66-SUM(B5:B60)/58</f>
        <v>475.862069</v>
      </c>
      <c r="P66" s="42">
        <f>O66-SUM(B5:B60)/58</f>
        <v>465.5172414</v>
      </c>
      <c r="Q66" s="42">
        <f>P66-SUM(B5:B60)/58</f>
        <v>455.1724138</v>
      </c>
      <c r="R66" s="42">
        <f>Q66-SUM(B5:B60)/58</f>
        <v>444.8275862</v>
      </c>
      <c r="S66" s="42">
        <f>R66-SUM(B5:B60)/58</f>
        <v>434.4827586</v>
      </c>
      <c r="T66" s="42">
        <f>S66-SUM(B5:B60)/58</f>
        <v>424.137931</v>
      </c>
      <c r="U66" s="42">
        <f>T66-SUM(B5:B60)/58</f>
        <v>413.7931034</v>
      </c>
      <c r="V66" s="42">
        <f>U66-SUM(B5:B60)/58</f>
        <v>403.4482759</v>
      </c>
      <c r="W66" s="42">
        <f>V66-SUM(B5:B60)/58</f>
        <v>393.1034483</v>
      </c>
      <c r="X66" s="42">
        <f>W66-SUM(B5:B60)/58</f>
        <v>382.7586207</v>
      </c>
      <c r="Y66" s="42">
        <f>X66-SUM(B5:B60)/58</f>
        <v>372.4137931</v>
      </c>
      <c r="Z66" s="42">
        <f>Y66-SUM(B5:B60)/58</f>
        <v>362.0689655</v>
      </c>
      <c r="AA66" s="42">
        <f>Z66-SUM(B5:B60)/58</f>
        <v>351.7241379</v>
      </c>
      <c r="AB66" s="42">
        <f>AA66-SUM(B5:B60)/58</f>
        <v>341.3793103</v>
      </c>
      <c r="AC66" s="42">
        <f>AB66-SUM(B5:B60)/58</f>
        <v>331.0344828</v>
      </c>
      <c r="AD66" s="42">
        <f>AC66-SUM(B5:B60)/58</f>
        <v>320.6896552</v>
      </c>
      <c r="AE66" s="42">
        <f>AD66-SUM(B5:B60)/58</f>
        <v>310.3448276</v>
      </c>
      <c r="AF66" s="42">
        <f>AE66-SUM(B5:B60)/58</f>
        <v>300</v>
      </c>
      <c r="AG66" s="42">
        <f>AF66-SUM(B5:B60)/58</f>
        <v>289.6551724</v>
      </c>
      <c r="AH66" s="42">
        <f>AG66-SUM(B5:B60)/58</f>
        <v>279.3103448</v>
      </c>
      <c r="AI66" s="42">
        <f>AH66-SUM(B5:B60)/58</f>
        <v>268.9655172</v>
      </c>
      <c r="AJ66" s="42">
        <f>AI66-SUM(B5:B60)/58</f>
        <v>258.6206897</v>
      </c>
      <c r="AK66" s="42">
        <f>AJ66-SUM(B5:B60)/58</f>
        <v>248.2758621</v>
      </c>
      <c r="AL66" s="42">
        <f>AK66-SUM(B5:B60)/58</f>
        <v>237.9310345</v>
      </c>
      <c r="AM66" s="42">
        <f>AL66-SUM(B5:B60)/58</f>
        <v>227.5862069</v>
      </c>
      <c r="AN66" s="42">
        <f>AM66-SUM(B5:B60)/58</f>
        <v>217.2413793</v>
      </c>
      <c r="AO66" s="42">
        <f>AN66-SUM(B5:B60)/58</f>
        <v>206.8965517</v>
      </c>
      <c r="AP66" s="42">
        <f>AO66-SUM(B5:B60)/58</f>
        <v>196.5517241</v>
      </c>
      <c r="AQ66" s="42">
        <f>AP66-SUM(B5:B60)/58</f>
        <v>186.2068966</v>
      </c>
      <c r="AR66" s="42">
        <f>AQ66-SUM(B5:B60)/58</f>
        <v>175.862069</v>
      </c>
      <c r="AS66" s="42">
        <f>AR66-SUM(B5:B60)/58</f>
        <v>165.5172414</v>
      </c>
      <c r="AT66" s="42">
        <f>AS66-SUM(B5:B60)/58</f>
        <v>155.1724138</v>
      </c>
      <c r="AU66" s="42">
        <f>AT66-SUM(B5:B60)/58</f>
        <v>144.8275862</v>
      </c>
      <c r="AV66" s="42">
        <f>AU66-SUM(B5:B60)/58</f>
        <v>134.4827586</v>
      </c>
      <c r="AW66" s="42">
        <f>AV66-SUM(B5:B60)/58</f>
        <v>124.137931</v>
      </c>
      <c r="AX66" s="42">
        <f>AW66-SUM(B5:B60)/58</f>
        <v>113.7931034</v>
      </c>
      <c r="AY66" s="42">
        <f>AX66-SUM(B5:B60)/58</f>
        <v>103.4482759</v>
      </c>
      <c r="AZ66" s="42">
        <f>AY66-SUM(B5:B60)/58</f>
        <v>93.10344828</v>
      </c>
      <c r="BA66" s="42">
        <f>AZ66-SUM(B5:B60)/58</f>
        <v>82.75862069</v>
      </c>
      <c r="BB66" s="42">
        <f>BA66-SUM(B5:B60)/58</f>
        <v>72.4137931</v>
      </c>
      <c r="BC66" s="42">
        <f>BB66-SUM(B5:B60)/58</f>
        <v>62.06896552</v>
      </c>
      <c r="BD66" s="42">
        <f>BC66-SUM(B5:B60)/58</f>
        <v>51.72413793</v>
      </c>
      <c r="BE66" s="42">
        <f>BD66-SUM(B5:B60)/58</f>
        <v>41.37931034</v>
      </c>
      <c r="BF66" s="42">
        <f>BE66-SUM(B5:B60)/58</f>
        <v>31.03448276</v>
      </c>
      <c r="BG66" s="42">
        <f>BF66-SUM(B5:B60)/58</f>
        <v>20.68965517</v>
      </c>
      <c r="BH66" s="42">
        <f>BG66-SUM(B5:B60)/58</f>
        <v>10.34482759</v>
      </c>
      <c r="BI66" s="42">
        <f>BH66-SUM(B5:B60)/58</f>
        <v>0</v>
      </c>
    </row>
    <row r="67" ht="15.75" customHeight="1">
      <c r="A67" s="39" t="s">
        <v>127</v>
      </c>
      <c r="C67" s="40">
        <f t="shared" ref="C67:BH67" si="4">D66</f>
        <v>589.6551724</v>
      </c>
      <c r="D67" s="40">
        <f t="shared" si="4"/>
        <v>579.3103448</v>
      </c>
      <c r="E67" s="40">
        <f t="shared" si="4"/>
        <v>568.9655172</v>
      </c>
      <c r="F67" s="40">
        <f t="shared" si="4"/>
        <v>558.6206897</v>
      </c>
      <c r="G67" s="40">
        <f t="shared" si="4"/>
        <v>548.2758621</v>
      </c>
      <c r="H67" s="40">
        <f t="shared" si="4"/>
        <v>537.9310345</v>
      </c>
      <c r="I67" s="40">
        <f t="shared" si="4"/>
        <v>527.5862069</v>
      </c>
      <c r="J67" s="40">
        <f t="shared" si="4"/>
        <v>517.2413793</v>
      </c>
      <c r="K67" s="40">
        <f t="shared" si="4"/>
        <v>506.8965517</v>
      </c>
      <c r="L67" s="40">
        <f t="shared" si="4"/>
        <v>496.5517241</v>
      </c>
      <c r="M67" s="40">
        <f t="shared" si="4"/>
        <v>486.2068966</v>
      </c>
      <c r="N67" s="40">
        <f t="shared" si="4"/>
        <v>475.862069</v>
      </c>
      <c r="O67" s="40">
        <f t="shared" si="4"/>
        <v>465.5172414</v>
      </c>
      <c r="P67" s="40">
        <f t="shared" si="4"/>
        <v>455.1724138</v>
      </c>
      <c r="Q67" s="40">
        <f t="shared" si="4"/>
        <v>444.8275862</v>
      </c>
      <c r="R67" s="40">
        <f t="shared" si="4"/>
        <v>434.4827586</v>
      </c>
      <c r="S67" s="40">
        <f t="shared" si="4"/>
        <v>424.137931</v>
      </c>
      <c r="T67" s="40">
        <f t="shared" si="4"/>
        <v>413.7931034</v>
      </c>
      <c r="U67" s="40">
        <f t="shared" si="4"/>
        <v>403.4482759</v>
      </c>
      <c r="V67" s="40">
        <f t="shared" si="4"/>
        <v>393.1034483</v>
      </c>
      <c r="W67" s="40">
        <f t="shared" si="4"/>
        <v>382.7586207</v>
      </c>
      <c r="X67" s="40">
        <f t="shared" si="4"/>
        <v>372.4137931</v>
      </c>
      <c r="Y67" s="40">
        <f t="shared" si="4"/>
        <v>362.0689655</v>
      </c>
      <c r="Z67" s="40">
        <f t="shared" si="4"/>
        <v>351.7241379</v>
      </c>
      <c r="AA67" s="40">
        <f t="shared" si="4"/>
        <v>341.3793103</v>
      </c>
      <c r="AB67" s="40">
        <f t="shared" si="4"/>
        <v>331.0344828</v>
      </c>
      <c r="AC67" s="40">
        <f t="shared" si="4"/>
        <v>320.6896552</v>
      </c>
      <c r="AD67" s="40">
        <f t="shared" si="4"/>
        <v>310.3448276</v>
      </c>
      <c r="AE67" s="40">
        <f t="shared" si="4"/>
        <v>300</v>
      </c>
      <c r="AF67" s="40">
        <f t="shared" si="4"/>
        <v>289.6551724</v>
      </c>
      <c r="AG67" s="40">
        <f t="shared" si="4"/>
        <v>279.3103448</v>
      </c>
      <c r="AH67" s="40">
        <f t="shared" si="4"/>
        <v>268.9655172</v>
      </c>
      <c r="AI67" s="40">
        <f t="shared" si="4"/>
        <v>258.6206897</v>
      </c>
      <c r="AJ67" s="40">
        <f t="shared" si="4"/>
        <v>248.2758621</v>
      </c>
      <c r="AK67" s="40">
        <f t="shared" si="4"/>
        <v>237.9310345</v>
      </c>
      <c r="AL67" s="40">
        <f t="shared" si="4"/>
        <v>227.5862069</v>
      </c>
      <c r="AM67" s="40">
        <f t="shared" si="4"/>
        <v>217.2413793</v>
      </c>
      <c r="AN67" s="40">
        <f t="shared" si="4"/>
        <v>206.8965517</v>
      </c>
      <c r="AO67" s="40">
        <f t="shared" si="4"/>
        <v>196.5517241</v>
      </c>
      <c r="AP67" s="40">
        <f t="shared" si="4"/>
        <v>186.2068966</v>
      </c>
      <c r="AQ67" s="40">
        <f t="shared" si="4"/>
        <v>175.862069</v>
      </c>
      <c r="AR67" s="40">
        <f t="shared" si="4"/>
        <v>165.5172414</v>
      </c>
      <c r="AS67" s="40">
        <f t="shared" si="4"/>
        <v>155.1724138</v>
      </c>
      <c r="AT67" s="40">
        <f t="shared" si="4"/>
        <v>144.8275862</v>
      </c>
      <c r="AU67" s="40">
        <f t="shared" si="4"/>
        <v>134.4827586</v>
      </c>
      <c r="AV67" s="40">
        <f t="shared" si="4"/>
        <v>124.137931</v>
      </c>
      <c r="AW67" s="40">
        <f t="shared" si="4"/>
        <v>113.7931034</v>
      </c>
      <c r="AX67" s="40">
        <f t="shared" si="4"/>
        <v>103.4482759</v>
      </c>
      <c r="AY67" s="40">
        <f t="shared" si="4"/>
        <v>93.10344828</v>
      </c>
      <c r="AZ67" s="40">
        <f t="shared" si="4"/>
        <v>82.75862069</v>
      </c>
      <c r="BA67" s="40">
        <f t="shared" si="4"/>
        <v>72.4137931</v>
      </c>
      <c r="BB67" s="40">
        <f t="shared" si="4"/>
        <v>62.06896552</v>
      </c>
      <c r="BC67" s="40">
        <f t="shared" si="4"/>
        <v>51.72413793</v>
      </c>
      <c r="BD67" s="40">
        <f t="shared" si="4"/>
        <v>41.37931034</v>
      </c>
      <c r="BE67" s="40">
        <f t="shared" si="4"/>
        <v>31.03448276</v>
      </c>
      <c r="BF67" s="40">
        <f t="shared" si="4"/>
        <v>20.68965517</v>
      </c>
      <c r="BG67" s="40">
        <f t="shared" si="4"/>
        <v>10.34482759</v>
      </c>
      <c r="BH67" s="40">
        <f t="shared" si="4"/>
        <v>0</v>
      </c>
    </row>
    <row r="68" ht="15.75" customHeight="1"/>
    <row r="69" ht="15.75" customHeight="1">
      <c r="A69" s="39" t="s">
        <v>128</v>
      </c>
    </row>
    <row r="70" ht="15.75" customHeight="1">
      <c r="A70" s="43" t="s">
        <v>61</v>
      </c>
      <c r="B70" s="44" t="s">
        <v>129</v>
      </c>
    </row>
    <row r="71" ht="15.75" customHeight="1">
      <c r="A71" s="45" t="s">
        <v>62</v>
      </c>
      <c r="B71" s="44" t="s">
        <v>130</v>
      </c>
    </row>
    <row r="72" ht="15.75" customHeight="1">
      <c r="A72" s="46" t="s">
        <v>63</v>
      </c>
      <c r="B72" s="44" t="s">
        <v>130</v>
      </c>
    </row>
    <row r="73" ht="15.75" customHeight="1">
      <c r="A73" s="47" t="s">
        <v>64</v>
      </c>
      <c r="B73" s="44" t="s">
        <v>131</v>
      </c>
    </row>
    <row r="74" ht="15.75" customHeight="1">
      <c r="A74" s="48" t="s">
        <v>65</v>
      </c>
      <c r="B74" s="44" t="s">
        <v>132</v>
      </c>
    </row>
    <row r="75" ht="15.75" customHeight="1">
      <c r="A75" s="49" t="s">
        <v>66</v>
      </c>
      <c r="B75" s="44" t="s">
        <v>133</v>
      </c>
    </row>
    <row r="76" ht="15.75" customHeight="1"/>
    <row r="77" ht="15.75" customHeight="1">
      <c r="A77" s="39" t="s">
        <v>134</v>
      </c>
      <c r="B77" s="44" t="s">
        <v>135</v>
      </c>
    </row>
    <row r="78" ht="15.75" customHeight="1">
      <c r="A78" s="50" t="s">
        <v>136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Y3:BH3"/>
    <mergeCell ref="BI3:BI4"/>
    <mergeCell ref="A3:A4"/>
    <mergeCell ref="B3:B4"/>
    <mergeCell ref="C3:K3"/>
    <mergeCell ref="L3:U3"/>
    <mergeCell ref="V3:AE3"/>
    <mergeCell ref="AF3:AN3"/>
    <mergeCell ref="AO3:AX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12.0"/>
    <col customWidth="1" min="3" max="12" width="7.0"/>
    <col customWidth="1" min="13" max="26" width="8.71"/>
  </cols>
  <sheetData>
    <row r="1">
      <c r="A1" s="1" t="s">
        <v>137</v>
      </c>
    </row>
    <row r="2">
      <c r="C2" s="51" t="s">
        <v>1</v>
      </c>
      <c r="D2" s="51" t="s">
        <v>2</v>
      </c>
      <c r="E2" s="51" t="s">
        <v>3</v>
      </c>
      <c r="F2" s="51" t="s">
        <v>4</v>
      </c>
      <c r="G2" s="51" t="s">
        <v>5</v>
      </c>
      <c r="H2" s="51" t="s">
        <v>6</v>
      </c>
      <c r="I2" s="51" t="s">
        <v>7</v>
      </c>
      <c r="J2" s="51" t="s">
        <v>8</v>
      </c>
      <c r="K2" s="51" t="s">
        <v>9</v>
      </c>
    </row>
    <row r="3">
      <c r="A3" s="52" t="s">
        <v>59</v>
      </c>
      <c r="B3" s="52" t="s">
        <v>60</v>
      </c>
      <c r="C3" s="53" t="s">
        <v>138</v>
      </c>
      <c r="D3" s="5"/>
      <c r="E3" s="5"/>
      <c r="F3" s="5"/>
      <c r="G3" s="6"/>
      <c r="H3" s="53" t="s">
        <v>138</v>
      </c>
      <c r="I3" s="5"/>
      <c r="J3" s="5"/>
      <c r="K3" s="6"/>
      <c r="L3" s="52" t="s">
        <v>67</v>
      </c>
    </row>
    <row r="4">
      <c r="A4" s="54"/>
      <c r="B4" s="54"/>
      <c r="C4" s="55">
        <v>1.0</v>
      </c>
      <c r="D4" s="55">
        <v>2.0</v>
      </c>
      <c r="E4" s="55">
        <v>3.0</v>
      </c>
      <c r="F4" s="55">
        <v>4.0</v>
      </c>
      <c r="G4" s="55">
        <v>5.0</v>
      </c>
      <c r="H4" s="55">
        <v>1.0</v>
      </c>
      <c r="I4" s="55">
        <v>2.0</v>
      </c>
      <c r="J4" s="55">
        <v>3.0</v>
      </c>
      <c r="K4" s="55">
        <v>4.0</v>
      </c>
      <c r="L4" s="54"/>
    </row>
    <row r="5">
      <c r="A5" s="19" t="s">
        <v>68</v>
      </c>
      <c r="B5" s="20">
        <v>10.0</v>
      </c>
      <c r="C5" s="56">
        <v>2.0</v>
      </c>
      <c r="D5" s="56">
        <v>3.0</v>
      </c>
      <c r="E5" s="56">
        <v>2.0</v>
      </c>
      <c r="F5" s="56">
        <v>3.0</v>
      </c>
      <c r="G5" s="56">
        <v>0.0</v>
      </c>
      <c r="H5" s="56">
        <v>0.0</v>
      </c>
      <c r="I5" s="56">
        <v>0.0</v>
      </c>
      <c r="J5" s="56">
        <v>0.0</v>
      </c>
      <c r="K5" s="56">
        <v>0.0</v>
      </c>
      <c r="L5" s="21">
        <f t="shared" ref="L5:L19" si="1">SUM(C5:K5)</f>
        <v>10</v>
      </c>
    </row>
    <row r="6">
      <c r="A6" s="19" t="s">
        <v>139</v>
      </c>
      <c r="B6" s="20">
        <v>5.0</v>
      </c>
      <c r="C6" s="56">
        <v>2.0</v>
      </c>
      <c r="D6" s="56">
        <v>3.0</v>
      </c>
      <c r="E6" s="56">
        <v>0.0</v>
      </c>
      <c r="F6" s="56">
        <v>0.0</v>
      </c>
      <c r="G6" s="56">
        <v>0.0</v>
      </c>
      <c r="H6" s="56">
        <v>0.0</v>
      </c>
      <c r="I6" s="56">
        <v>0.0</v>
      </c>
      <c r="J6" s="56">
        <v>0.0</v>
      </c>
      <c r="K6" s="56">
        <v>0.0</v>
      </c>
      <c r="L6" s="21">
        <f t="shared" si="1"/>
        <v>5</v>
      </c>
    </row>
    <row r="7">
      <c r="A7" s="19" t="s">
        <v>70</v>
      </c>
      <c r="B7" s="20">
        <v>5.0</v>
      </c>
      <c r="C7" s="56">
        <v>0.0</v>
      </c>
      <c r="D7" s="56">
        <v>0.0</v>
      </c>
      <c r="E7" s="56">
        <v>0.0</v>
      </c>
      <c r="F7" s="56">
        <v>0.0</v>
      </c>
      <c r="G7" s="56">
        <v>2.0</v>
      </c>
      <c r="H7" s="56">
        <v>3.0</v>
      </c>
      <c r="I7" s="56">
        <v>0.0</v>
      </c>
      <c r="J7" s="56">
        <v>0.0</v>
      </c>
      <c r="K7" s="56">
        <v>0.0</v>
      </c>
      <c r="L7" s="21">
        <f t="shared" si="1"/>
        <v>5</v>
      </c>
    </row>
    <row r="8">
      <c r="A8" s="19" t="s">
        <v>140</v>
      </c>
      <c r="B8" s="20">
        <v>4.0</v>
      </c>
      <c r="C8" s="56">
        <v>2.0</v>
      </c>
      <c r="D8" s="56">
        <v>2.0</v>
      </c>
      <c r="E8" s="56">
        <v>0.0</v>
      </c>
      <c r="F8" s="56">
        <v>0.0</v>
      </c>
      <c r="G8" s="56">
        <v>0.0</v>
      </c>
      <c r="H8" s="56">
        <v>0.0</v>
      </c>
      <c r="I8" s="56">
        <v>0.0</v>
      </c>
      <c r="J8" s="56">
        <v>0.0</v>
      </c>
      <c r="K8" s="56">
        <v>0.0</v>
      </c>
      <c r="L8" s="21">
        <f t="shared" si="1"/>
        <v>4</v>
      </c>
    </row>
    <row r="9">
      <c r="A9" s="19" t="s">
        <v>72</v>
      </c>
      <c r="B9" s="20">
        <v>6.0</v>
      </c>
      <c r="C9" s="56">
        <v>0.0</v>
      </c>
      <c r="D9" s="56">
        <v>0.0</v>
      </c>
      <c r="E9" s="56">
        <v>3.0</v>
      </c>
      <c r="F9" s="56">
        <v>2.0</v>
      </c>
      <c r="G9" s="56">
        <v>1.0</v>
      </c>
      <c r="H9" s="56">
        <v>0.0</v>
      </c>
      <c r="I9" s="56">
        <v>0.0</v>
      </c>
      <c r="J9" s="56">
        <v>0.0</v>
      </c>
      <c r="K9" s="56">
        <v>0.0</v>
      </c>
      <c r="L9" s="21">
        <f t="shared" si="1"/>
        <v>6</v>
      </c>
    </row>
    <row r="10">
      <c r="A10" s="19" t="s">
        <v>141</v>
      </c>
      <c r="B10" s="20">
        <v>4.0</v>
      </c>
      <c r="C10" s="56">
        <v>0.0</v>
      </c>
      <c r="D10" s="56">
        <v>0.0</v>
      </c>
      <c r="E10" s="56">
        <v>2.0</v>
      </c>
      <c r="F10" s="56">
        <v>2.0</v>
      </c>
      <c r="G10" s="56">
        <v>0.0</v>
      </c>
      <c r="H10" s="56">
        <v>0.0</v>
      </c>
      <c r="I10" s="56">
        <v>0.0</v>
      </c>
      <c r="J10" s="56">
        <v>0.0</v>
      </c>
      <c r="K10" s="56">
        <v>0.0</v>
      </c>
      <c r="L10" s="21">
        <f t="shared" si="1"/>
        <v>4</v>
      </c>
    </row>
    <row r="11">
      <c r="A11" s="19" t="s">
        <v>74</v>
      </c>
      <c r="B11" s="20">
        <v>6.0</v>
      </c>
      <c r="C11" s="56">
        <v>0.0</v>
      </c>
      <c r="D11" s="56">
        <v>0.0</v>
      </c>
      <c r="E11" s="56">
        <v>0.0</v>
      </c>
      <c r="F11" s="56">
        <v>0.0</v>
      </c>
      <c r="G11" s="56">
        <v>1.0</v>
      </c>
      <c r="H11" s="56">
        <v>2.0</v>
      </c>
      <c r="I11" s="56">
        <v>3.0</v>
      </c>
      <c r="J11" s="56">
        <v>0.0</v>
      </c>
      <c r="K11" s="56">
        <v>0.0</v>
      </c>
      <c r="L11" s="21">
        <f t="shared" si="1"/>
        <v>6</v>
      </c>
    </row>
    <row r="12">
      <c r="A12" s="19" t="s">
        <v>75</v>
      </c>
      <c r="B12" s="20">
        <v>8.0</v>
      </c>
      <c r="C12" s="56">
        <v>0.0</v>
      </c>
      <c r="D12" s="56">
        <v>0.0</v>
      </c>
      <c r="E12" s="56">
        <v>0.0</v>
      </c>
      <c r="F12" s="56">
        <v>1.0</v>
      </c>
      <c r="G12" s="56">
        <v>2.0</v>
      </c>
      <c r="H12" s="56">
        <v>3.0</v>
      </c>
      <c r="I12" s="56">
        <v>2.0</v>
      </c>
      <c r="J12" s="56">
        <v>0.0</v>
      </c>
      <c r="K12" s="56">
        <v>0.0</v>
      </c>
      <c r="L12" s="21">
        <f t="shared" si="1"/>
        <v>8</v>
      </c>
    </row>
    <row r="13">
      <c r="A13" s="19" t="s">
        <v>142</v>
      </c>
      <c r="B13" s="20">
        <v>4.0</v>
      </c>
      <c r="C13" s="56">
        <v>0.0</v>
      </c>
      <c r="D13" s="56">
        <v>0.0</v>
      </c>
      <c r="E13" s="56">
        <v>0.0</v>
      </c>
      <c r="F13" s="56">
        <v>0.0</v>
      </c>
      <c r="G13" s="56">
        <v>0.0</v>
      </c>
      <c r="H13" s="56">
        <v>0.0</v>
      </c>
      <c r="I13" s="56">
        <v>2.0</v>
      </c>
      <c r="J13" s="56">
        <v>2.0</v>
      </c>
      <c r="K13" s="56">
        <v>0.0</v>
      </c>
      <c r="L13" s="21">
        <f t="shared" si="1"/>
        <v>4</v>
      </c>
    </row>
    <row r="14">
      <c r="A14" s="19" t="s">
        <v>143</v>
      </c>
      <c r="B14" s="20">
        <v>4.0</v>
      </c>
      <c r="C14" s="56">
        <v>0.0</v>
      </c>
      <c r="D14" s="56">
        <v>0.0</v>
      </c>
      <c r="E14" s="56">
        <v>0.0</v>
      </c>
      <c r="F14" s="56">
        <v>0.0</v>
      </c>
      <c r="G14" s="56">
        <v>0.0</v>
      </c>
      <c r="H14" s="56">
        <v>0.0</v>
      </c>
      <c r="I14" s="56">
        <v>0.0</v>
      </c>
      <c r="J14" s="56">
        <v>2.0</v>
      </c>
      <c r="K14" s="56">
        <v>2.0</v>
      </c>
      <c r="L14" s="21">
        <f t="shared" si="1"/>
        <v>4</v>
      </c>
    </row>
    <row r="15">
      <c r="A15" s="19" t="s">
        <v>78</v>
      </c>
      <c r="B15" s="20">
        <v>3.0</v>
      </c>
      <c r="C15" s="56">
        <v>0.0</v>
      </c>
      <c r="D15" s="56">
        <v>0.0</v>
      </c>
      <c r="E15" s="56">
        <v>0.0</v>
      </c>
      <c r="F15" s="56">
        <v>0.0</v>
      </c>
      <c r="G15" s="56">
        <v>0.0</v>
      </c>
      <c r="H15" s="56">
        <v>0.0</v>
      </c>
      <c r="I15" s="56">
        <v>0.0</v>
      </c>
      <c r="J15" s="56">
        <v>3.0</v>
      </c>
      <c r="K15" s="56">
        <v>0.0</v>
      </c>
      <c r="L15" s="21">
        <f t="shared" si="1"/>
        <v>3</v>
      </c>
    </row>
    <row r="16">
      <c r="A16" s="19" t="s">
        <v>79</v>
      </c>
      <c r="B16" s="20">
        <v>2.0</v>
      </c>
      <c r="C16" s="56">
        <v>0.0</v>
      </c>
      <c r="D16" s="56">
        <v>0.0</v>
      </c>
      <c r="E16" s="56">
        <v>0.0</v>
      </c>
      <c r="F16" s="56">
        <v>0.0</v>
      </c>
      <c r="G16" s="56">
        <v>0.0</v>
      </c>
      <c r="H16" s="56">
        <v>0.0</v>
      </c>
      <c r="I16" s="56">
        <v>0.0</v>
      </c>
      <c r="J16" s="56">
        <v>0.0</v>
      </c>
      <c r="K16" s="56">
        <v>2.0</v>
      </c>
      <c r="L16" s="21">
        <f t="shared" si="1"/>
        <v>2</v>
      </c>
    </row>
    <row r="17">
      <c r="A17" s="19" t="s">
        <v>144</v>
      </c>
      <c r="B17" s="20">
        <v>3.0</v>
      </c>
      <c r="C17" s="56">
        <v>0.0</v>
      </c>
      <c r="D17" s="56">
        <v>0.0</v>
      </c>
      <c r="E17" s="56">
        <v>0.0</v>
      </c>
      <c r="F17" s="56">
        <v>0.0</v>
      </c>
      <c r="G17" s="56">
        <v>0.0</v>
      </c>
      <c r="H17" s="56">
        <v>0.0</v>
      </c>
      <c r="I17" s="56">
        <v>0.0</v>
      </c>
      <c r="J17" s="56">
        <v>1.0</v>
      </c>
      <c r="K17" s="56">
        <v>2.0</v>
      </c>
      <c r="L17" s="21">
        <f t="shared" si="1"/>
        <v>3</v>
      </c>
    </row>
    <row r="18">
      <c r="A18" s="39" t="s">
        <v>124</v>
      </c>
      <c r="B18" s="39">
        <f>SUM(B5:B17)</f>
        <v>64</v>
      </c>
      <c r="L18" s="40">
        <f t="shared" si="1"/>
        <v>0</v>
      </c>
    </row>
    <row r="19">
      <c r="A19" s="39" t="s">
        <v>125</v>
      </c>
      <c r="B19" s="40">
        <f>SUM(C19:K19)</f>
        <v>216</v>
      </c>
      <c r="C19" s="41">
        <v>24.0</v>
      </c>
      <c r="D19" s="41">
        <v>24.0</v>
      </c>
      <c r="E19" s="41">
        <v>24.0</v>
      </c>
      <c r="F19" s="41">
        <v>24.0</v>
      </c>
      <c r="G19" s="41">
        <v>24.0</v>
      </c>
      <c r="H19" s="41">
        <v>24.0</v>
      </c>
      <c r="I19" s="41">
        <v>24.0</v>
      </c>
      <c r="J19" s="41">
        <v>24.0</v>
      </c>
      <c r="K19" s="41">
        <v>24.0</v>
      </c>
      <c r="L19" s="40">
        <f t="shared" si="1"/>
        <v>216</v>
      </c>
    </row>
    <row r="21" ht="15.75" customHeight="1">
      <c r="B21" s="42">
        <f>SUM(B5:B17)</f>
        <v>64</v>
      </c>
      <c r="C21" s="42">
        <f>B21</f>
        <v>64</v>
      </c>
      <c r="D21" s="42">
        <f t="shared" ref="D21:L21" si="2">C21-SUM(C5:C17)</f>
        <v>58</v>
      </c>
      <c r="E21" s="42">
        <f t="shared" si="2"/>
        <v>50</v>
      </c>
      <c r="F21" s="42">
        <f t="shared" si="2"/>
        <v>43</v>
      </c>
      <c r="G21" s="42">
        <f t="shared" si="2"/>
        <v>35</v>
      </c>
      <c r="H21" s="42">
        <f t="shared" si="2"/>
        <v>29</v>
      </c>
      <c r="I21" s="42">
        <f t="shared" si="2"/>
        <v>21</v>
      </c>
      <c r="J21" s="42">
        <f t="shared" si="2"/>
        <v>14</v>
      </c>
      <c r="K21" s="42">
        <f t="shared" si="2"/>
        <v>6</v>
      </c>
      <c r="L21" s="42">
        <f t="shared" si="2"/>
        <v>0</v>
      </c>
    </row>
    <row r="22" ht="15.75" customHeight="1">
      <c r="A22" s="39" t="s">
        <v>126</v>
      </c>
      <c r="C22" s="40">
        <f t="shared" ref="C22:K22" si="3">D21</f>
        <v>58</v>
      </c>
      <c r="D22" s="40">
        <f t="shared" si="3"/>
        <v>50</v>
      </c>
      <c r="E22" s="40">
        <f t="shared" si="3"/>
        <v>43</v>
      </c>
      <c r="F22" s="40">
        <f t="shared" si="3"/>
        <v>35</v>
      </c>
      <c r="G22" s="40">
        <f t="shared" si="3"/>
        <v>29</v>
      </c>
      <c r="H22" s="40">
        <f t="shared" si="3"/>
        <v>21</v>
      </c>
      <c r="I22" s="40">
        <f t="shared" si="3"/>
        <v>14</v>
      </c>
      <c r="J22" s="40">
        <f t="shared" si="3"/>
        <v>6</v>
      </c>
      <c r="K22" s="40">
        <f t="shared" si="3"/>
        <v>0</v>
      </c>
    </row>
    <row r="23" ht="15.75" customHeight="1">
      <c r="B23" s="42">
        <f>SUM(B5:B17)</f>
        <v>64</v>
      </c>
      <c r="C23" s="42">
        <f>B23</f>
        <v>64</v>
      </c>
      <c r="D23" s="42">
        <f>C23-SUM(B5:B17)/9</f>
        <v>56.88888889</v>
      </c>
      <c r="E23" s="42">
        <f>D23-SUM(B5:B17)/9</f>
        <v>49.77777778</v>
      </c>
      <c r="F23" s="42">
        <f>E23-SUM(B5:B17)/9</f>
        <v>42.66666667</v>
      </c>
      <c r="G23" s="42">
        <f>F23-SUM(B5:B17)/9</f>
        <v>35.55555556</v>
      </c>
      <c r="H23" s="42">
        <f>G23-SUM(B5:B17)/9</f>
        <v>28.44444444</v>
      </c>
      <c r="I23" s="42">
        <f>H23-SUM(B5:B17)/9</f>
        <v>21.33333333</v>
      </c>
      <c r="J23" s="42">
        <f>I23-SUM(B5:B17)/9</f>
        <v>14.22222222</v>
      </c>
      <c r="K23" s="42">
        <f>J23-SUM(B5:B17)/9</f>
        <v>7.111111111</v>
      </c>
      <c r="L23" s="42">
        <f>K23-SUM(B5:B17)/9</f>
        <v>0</v>
      </c>
    </row>
    <row r="24" ht="15.75" customHeight="1">
      <c r="A24" s="39" t="s">
        <v>127</v>
      </c>
      <c r="C24" s="40">
        <f t="shared" ref="C24:K24" si="4">D23</f>
        <v>56.88888889</v>
      </c>
      <c r="D24" s="40">
        <f t="shared" si="4"/>
        <v>49.77777778</v>
      </c>
      <c r="E24" s="40">
        <f t="shared" si="4"/>
        <v>42.66666667</v>
      </c>
      <c r="F24" s="40">
        <f t="shared" si="4"/>
        <v>35.55555556</v>
      </c>
      <c r="G24" s="40">
        <f t="shared" si="4"/>
        <v>28.44444444</v>
      </c>
      <c r="H24" s="40">
        <f t="shared" si="4"/>
        <v>21.33333333</v>
      </c>
      <c r="I24" s="40">
        <f t="shared" si="4"/>
        <v>14.22222222</v>
      </c>
      <c r="J24" s="40">
        <f t="shared" si="4"/>
        <v>7.111111111</v>
      </c>
      <c r="K24" s="40">
        <f t="shared" si="4"/>
        <v>0</v>
      </c>
    </row>
    <row r="25" ht="15.75" customHeight="1"/>
    <row r="26" ht="15.75" customHeight="1">
      <c r="A26" s="39" t="s">
        <v>145</v>
      </c>
      <c r="B26" s="40" t="s">
        <v>146</v>
      </c>
      <c r="E26" s="40" t="s">
        <v>147</v>
      </c>
      <c r="J26" s="40" t="s">
        <v>148</v>
      </c>
      <c r="M26" s="40" t="s">
        <v>149</v>
      </c>
    </row>
    <row r="27" ht="15.75" customHeight="1">
      <c r="A27" s="50" t="s">
        <v>150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G3"/>
    <mergeCell ref="H3:K3"/>
    <mergeCell ref="L3:L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12.0"/>
    <col customWidth="1" min="3" max="13" width="7.0"/>
    <col customWidth="1" min="14" max="26" width="8.71"/>
  </cols>
  <sheetData>
    <row r="1">
      <c r="A1" s="1" t="s">
        <v>151</v>
      </c>
    </row>
    <row r="2">
      <c r="C2" s="51" t="s">
        <v>10</v>
      </c>
      <c r="D2" s="51" t="s">
        <v>11</v>
      </c>
      <c r="E2" s="51" t="s">
        <v>12</v>
      </c>
      <c r="F2" s="51" t="s">
        <v>13</v>
      </c>
      <c r="G2" s="51" t="s">
        <v>14</v>
      </c>
      <c r="H2" s="51" t="s">
        <v>15</v>
      </c>
      <c r="I2" s="51" t="s">
        <v>16</v>
      </c>
      <c r="J2" s="51" t="s">
        <v>17</v>
      </c>
      <c r="K2" s="51" t="s">
        <v>18</v>
      </c>
      <c r="L2" s="51" t="s">
        <v>19</v>
      </c>
    </row>
    <row r="3">
      <c r="A3" s="52" t="s">
        <v>59</v>
      </c>
      <c r="B3" s="52" t="s">
        <v>60</v>
      </c>
      <c r="C3" s="53" t="s">
        <v>138</v>
      </c>
      <c r="D3" s="5"/>
      <c r="E3" s="5"/>
      <c r="F3" s="5"/>
      <c r="G3" s="6"/>
      <c r="H3" s="53" t="s">
        <v>138</v>
      </c>
      <c r="I3" s="5"/>
      <c r="J3" s="5"/>
      <c r="K3" s="5"/>
      <c r="L3" s="6"/>
      <c r="M3" s="52" t="s">
        <v>67</v>
      </c>
    </row>
    <row r="4">
      <c r="A4" s="54"/>
      <c r="B4" s="54"/>
      <c r="C4" s="55">
        <v>1.0</v>
      </c>
      <c r="D4" s="55">
        <v>2.0</v>
      </c>
      <c r="E4" s="55">
        <v>3.0</v>
      </c>
      <c r="F4" s="55">
        <v>4.0</v>
      </c>
      <c r="G4" s="55">
        <v>5.0</v>
      </c>
      <c r="H4" s="55">
        <v>1.0</v>
      </c>
      <c r="I4" s="55">
        <v>2.0</v>
      </c>
      <c r="J4" s="55">
        <v>3.0</v>
      </c>
      <c r="K4" s="55">
        <v>4.0</v>
      </c>
      <c r="L4" s="55">
        <v>5.0</v>
      </c>
      <c r="M4" s="54"/>
    </row>
    <row r="5">
      <c r="A5" s="24" t="s">
        <v>81</v>
      </c>
      <c r="B5" s="25">
        <v>16.0</v>
      </c>
      <c r="C5" s="56">
        <v>3.0</v>
      </c>
      <c r="D5" s="56">
        <v>3.0</v>
      </c>
      <c r="E5" s="56">
        <v>2.0</v>
      </c>
      <c r="F5" s="56">
        <v>3.0</v>
      </c>
      <c r="G5" s="56">
        <v>3.0</v>
      </c>
      <c r="H5" s="56">
        <v>2.0</v>
      </c>
      <c r="I5" s="56">
        <v>0.0</v>
      </c>
      <c r="J5" s="56">
        <v>0.0</v>
      </c>
      <c r="K5" s="56">
        <v>0.0</v>
      </c>
      <c r="L5" s="56">
        <v>0.0</v>
      </c>
      <c r="M5" s="21">
        <f t="shared" ref="M5:M14" si="1">SUM(C5:L5)</f>
        <v>16</v>
      </c>
    </row>
    <row r="6">
      <c r="A6" s="24" t="s">
        <v>152</v>
      </c>
      <c r="B6" s="25">
        <v>14.0</v>
      </c>
      <c r="C6" s="56">
        <v>2.0</v>
      </c>
      <c r="D6" s="56">
        <v>3.0</v>
      </c>
      <c r="E6" s="56">
        <v>2.0</v>
      </c>
      <c r="F6" s="56">
        <v>3.0</v>
      </c>
      <c r="G6" s="56">
        <v>2.0</v>
      </c>
      <c r="H6" s="56">
        <v>2.0</v>
      </c>
      <c r="I6" s="56">
        <v>0.0</v>
      </c>
      <c r="J6" s="56">
        <v>0.0</v>
      </c>
      <c r="K6" s="56">
        <v>0.0</v>
      </c>
      <c r="L6" s="56">
        <v>0.0</v>
      </c>
      <c r="M6" s="21">
        <f t="shared" si="1"/>
        <v>14</v>
      </c>
    </row>
    <row r="7">
      <c r="A7" s="24" t="s">
        <v>83</v>
      </c>
      <c r="B7" s="25">
        <v>4.0</v>
      </c>
      <c r="C7" s="56">
        <v>0.0</v>
      </c>
      <c r="D7" s="56">
        <v>0.0</v>
      </c>
      <c r="E7" s="56">
        <v>0.0</v>
      </c>
      <c r="F7" s="56">
        <v>0.0</v>
      </c>
      <c r="G7" s="56">
        <v>0.0</v>
      </c>
      <c r="H7" s="56">
        <v>1.0</v>
      </c>
      <c r="I7" s="56">
        <v>3.0</v>
      </c>
      <c r="J7" s="56">
        <v>0.0</v>
      </c>
      <c r="K7" s="56">
        <v>0.0</v>
      </c>
      <c r="L7" s="56">
        <v>0.0</v>
      </c>
      <c r="M7" s="21">
        <f t="shared" si="1"/>
        <v>4</v>
      </c>
    </row>
    <row r="8">
      <c r="A8" s="24" t="s">
        <v>153</v>
      </c>
      <c r="B8" s="25">
        <v>6.0</v>
      </c>
      <c r="C8" s="56">
        <v>3.0</v>
      </c>
      <c r="D8" s="56">
        <v>3.0</v>
      </c>
      <c r="E8" s="56">
        <v>0.0</v>
      </c>
      <c r="F8" s="56">
        <v>0.0</v>
      </c>
      <c r="G8" s="56">
        <v>0.0</v>
      </c>
      <c r="H8" s="56">
        <v>0.0</v>
      </c>
      <c r="I8" s="56">
        <v>0.0</v>
      </c>
      <c r="J8" s="56">
        <v>0.0</v>
      </c>
      <c r="K8" s="56">
        <v>0.0</v>
      </c>
      <c r="L8" s="56">
        <v>0.0</v>
      </c>
      <c r="M8" s="21">
        <f t="shared" si="1"/>
        <v>6</v>
      </c>
    </row>
    <row r="9">
      <c r="A9" s="24" t="s">
        <v>85</v>
      </c>
      <c r="B9" s="25">
        <v>16.0</v>
      </c>
      <c r="C9" s="56">
        <v>0.0</v>
      </c>
      <c r="D9" s="56">
        <v>0.0</v>
      </c>
      <c r="E9" s="56">
        <v>2.0</v>
      </c>
      <c r="F9" s="56">
        <v>3.0</v>
      </c>
      <c r="G9" s="56">
        <v>3.0</v>
      </c>
      <c r="H9" s="56">
        <v>3.0</v>
      </c>
      <c r="I9" s="56">
        <v>3.0</v>
      </c>
      <c r="J9" s="56">
        <v>2.0</v>
      </c>
      <c r="K9" s="56">
        <v>0.0</v>
      </c>
      <c r="L9" s="56">
        <v>0.0</v>
      </c>
      <c r="M9" s="21">
        <f t="shared" si="1"/>
        <v>16</v>
      </c>
    </row>
    <row r="10">
      <c r="A10" s="24" t="s">
        <v>154</v>
      </c>
      <c r="B10" s="25">
        <v>10.0</v>
      </c>
      <c r="C10" s="56">
        <v>0.0</v>
      </c>
      <c r="D10" s="56">
        <v>0.0</v>
      </c>
      <c r="E10" s="56">
        <v>0.0</v>
      </c>
      <c r="F10" s="56">
        <v>0.0</v>
      </c>
      <c r="G10" s="56">
        <v>0.0</v>
      </c>
      <c r="H10" s="56">
        <v>0.0</v>
      </c>
      <c r="I10" s="56">
        <v>3.0</v>
      </c>
      <c r="J10" s="56">
        <v>2.0</v>
      </c>
      <c r="K10" s="56">
        <v>3.0</v>
      </c>
      <c r="L10" s="56">
        <v>2.0</v>
      </c>
      <c r="M10" s="21">
        <f t="shared" si="1"/>
        <v>10</v>
      </c>
    </row>
    <row r="11">
      <c r="A11" s="24" t="s">
        <v>87</v>
      </c>
      <c r="B11" s="25">
        <v>6.0</v>
      </c>
      <c r="C11" s="56">
        <v>0.0</v>
      </c>
      <c r="D11" s="56">
        <v>0.0</v>
      </c>
      <c r="E11" s="56">
        <v>0.0</v>
      </c>
      <c r="F11" s="56">
        <v>0.0</v>
      </c>
      <c r="G11" s="56">
        <v>0.0</v>
      </c>
      <c r="H11" s="56">
        <v>0.0</v>
      </c>
      <c r="I11" s="56">
        <v>0.0</v>
      </c>
      <c r="J11" s="56">
        <v>0.0</v>
      </c>
      <c r="K11" s="56">
        <v>3.0</v>
      </c>
      <c r="L11" s="56">
        <v>3.0</v>
      </c>
      <c r="M11" s="21">
        <f t="shared" si="1"/>
        <v>6</v>
      </c>
    </row>
    <row r="12">
      <c r="A12" s="24" t="s">
        <v>155</v>
      </c>
      <c r="B12" s="25">
        <v>8.0</v>
      </c>
      <c r="C12" s="56">
        <v>0.0</v>
      </c>
      <c r="D12" s="56">
        <v>0.0</v>
      </c>
      <c r="E12" s="56">
        <v>0.0</v>
      </c>
      <c r="F12" s="56">
        <v>0.0</v>
      </c>
      <c r="G12" s="56">
        <v>0.0</v>
      </c>
      <c r="H12" s="56">
        <v>0.0</v>
      </c>
      <c r="I12" s="56">
        <v>0.0</v>
      </c>
      <c r="J12" s="56">
        <v>2.0</v>
      </c>
      <c r="K12" s="56">
        <v>3.0</v>
      </c>
      <c r="L12" s="56">
        <v>3.0</v>
      </c>
      <c r="M12" s="21">
        <f t="shared" si="1"/>
        <v>8</v>
      </c>
    </row>
    <row r="13">
      <c r="A13" s="39" t="s">
        <v>124</v>
      </c>
      <c r="B13" s="39">
        <f>SUM(B5:B12)</f>
        <v>80</v>
      </c>
      <c r="M13" s="40">
        <f t="shared" si="1"/>
        <v>0</v>
      </c>
    </row>
    <row r="14">
      <c r="A14" s="39" t="s">
        <v>125</v>
      </c>
      <c r="B14" s="40">
        <f>SUM(C14:L14)</f>
        <v>240</v>
      </c>
      <c r="C14" s="41">
        <v>24.0</v>
      </c>
      <c r="D14" s="41">
        <v>24.0</v>
      </c>
      <c r="E14" s="41">
        <v>24.0</v>
      </c>
      <c r="F14" s="41">
        <v>24.0</v>
      </c>
      <c r="G14" s="41">
        <v>24.0</v>
      </c>
      <c r="H14" s="41">
        <v>24.0</v>
      </c>
      <c r="I14" s="41">
        <v>24.0</v>
      </c>
      <c r="J14" s="41">
        <v>24.0</v>
      </c>
      <c r="K14" s="41">
        <v>24.0</v>
      </c>
      <c r="L14" s="41">
        <v>24.0</v>
      </c>
      <c r="M14" s="40">
        <f t="shared" si="1"/>
        <v>240</v>
      </c>
    </row>
    <row r="16">
      <c r="B16" s="42">
        <f>SUM(B5:B12)</f>
        <v>80</v>
      </c>
      <c r="C16" s="42">
        <f>B16</f>
        <v>80</v>
      </c>
      <c r="D16" s="42">
        <f t="shared" ref="D16:M16" si="2">C16-SUM(C5:C12)</f>
        <v>72</v>
      </c>
      <c r="E16" s="42">
        <f t="shared" si="2"/>
        <v>63</v>
      </c>
      <c r="F16" s="42">
        <f t="shared" si="2"/>
        <v>57</v>
      </c>
      <c r="G16" s="42">
        <f t="shared" si="2"/>
        <v>48</v>
      </c>
      <c r="H16" s="42">
        <f t="shared" si="2"/>
        <v>40</v>
      </c>
      <c r="I16" s="42">
        <f t="shared" si="2"/>
        <v>32</v>
      </c>
      <c r="J16" s="42">
        <f t="shared" si="2"/>
        <v>23</v>
      </c>
      <c r="K16" s="42">
        <f t="shared" si="2"/>
        <v>17</v>
      </c>
      <c r="L16" s="42">
        <f t="shared" si="2"/>
        <v>8</v>
      </c>
      <c r="M16" s="42">
        <f t="shared" si="2"/>
        <v>0</v>
      </c>
    </row>
    <row r="17">
      <c r="A17" s="39" t="s">
        <v>126</v>
      </c>
      <c r="C17" s="40">
        <f t="shared" ref="C17:L17" si="3">D16</f>
        <v>72</v>
      </c>
      <c r="D17" s="40">
        <f t="shared" si="3"/>
        <v>63</v>
      </c>
      <c r="E17" s="40">
        <f t="shared" si="3"/>
        <v>57</v>
      </c>
      <c r="F17" s="40">
        <f t="shared" si="3"/>
        <v>48</v>
      </c>
      <c r="G17" s="40">
        <f t="shared" si="3"/>
        <v>40</v>
      </c>
      <c r="H17" s="40">
        <f t="shared" si="3"/>
        <v>32</v>
      </c>
      <c r="I17" s="40">
        <f t="shared" si="3"/>
        <v>23</v>
      </c>
      <c r="J17" s="40">
        <f t="shared" si="3"/>
        <v>17</v>
      </c>
      <c r="K17" s="40">
        <f t="shared" si="3"/>
        <v>8</v>
      </c>
      <c r="L17" s="40">
        <f t="shared" si="3"/>
        <v>0</v>
      </c>
    </row>
    <row r="18">
      <c r="B18" s="42">
        <f>SUM(B5:B12)</f>
        <v>80</v>
      </c>
      <c r="C18" s="42">
        <f>B18</f>
        <v>80</v>
      </c>
      <c r="D18" s="42">
        <f>C18-SUM(B5:B12)/10</f>
        <v>72</v>
      </c>
      <c r="E18" s="42">
        <f>D18-SUM(B5:B12)/10</f>
        <v>64</v>
      </c>
      <c r="F18" s="42">
        <f>E18-SUM(B5:B12)/10</f>
        <v>56</v>
      </c>
      <c r="G18" s="42">
        <f>F18-SUM(B5:B12)/10</f>
        <v>48</v>
      </c>
      <c r="H18" s="42">
        <f>G18-SUM(B5:B12)/10</f>
        <v>40</v>
      </c>
      <c r="I18" s="42">
        <f>H18-SUM(B5:B12)/10</f>
        <v>32</v>
      </c>
      <c r="J18" s="42">
        <f>I18-SUM(B5:B12)/10</f>
        <v>24</v>
      </c>
      <c r="K18" s="42">
        <f>J18-SUM(B5:B12)/10</f>
        <v>16</v>
      </c>
      <c r="L18" s="42">
        <f>K18-SUM(B5:B12)/10</f>
        <v>8</v>
      </c>
      <c r="M18" s="42">
        <f>L18-SUM(B5:B12)/10</f>
        <v>0</v>
      </c>
    </row>
    <row r="19">
      <c r="A19" s="39" t="s">
        <v>127</v>
      </c>
      <c r="C19" s="40">
        <f t="shared" ref="C19:L19" si="4">D18</f>
        <v>72</v>
      </c>
      <c r="D19" s="40">
        <f t="shared" si="4"/>
        <v>64</v>
      </c>
      <c r="E19" s="40">
        <f t="shared" si="4"/>
        <v>56</v>
      </c>
      <c r="F19" s="40">
        <f t="shared" si="4"/>
        <v>48</v>
      </c>
      <c r="G19" s="40">
        <f t="shared" si="4"/>
        <v>40</v>
      </c>
      <c r="H19" s="40">
        <f t="shared" si="4"/>
        <v>32</v>
      </c>
      <c r="I19" s="40">
        <f t="shared" si="4"/>
        <v>24</v>
      </c>
      <c r="J19" s="40">
        <f t="shared" si="4"/>
        <v>16</v>
      </c>
      <c r="K19" s="40">
        <f t="shared" si="4"/>
        <v>8</v>
      </c>
      <c r="L19" s="40">
        <f t="shared" si="4"/>
        <v>0</v>
      </c>
    </row>
    <row r="21" ht="15.75" customHeight="1">
      <c r="A21" s="39" t="s">
        <v>145</v>
      </c>
      <c r="B21" s="40" t="s">
        <v>146</v>
      </c>
      <c r="E21" s="40" t="s">
        <v>147</v>
      </c>
      <c r="J21" s="40" t="s">
        <v>148</v>
      </c>
      <c r="M21" s="40" t="s">
        <v>156</v>
      </c>
    </row>
    <row r="22" ht="15.75" customHeight="1">
      <c r="A22" s="50" t="s">
        <v>150</v>
      </c>
    </row>
    <row r="23" ht="15.75" customHeight="1">
      <c r="A23" s="50" t="s">
        <v>157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G3"/>
    <mergeCell ref="H3:L3"/>
    <mergeCell ref="M3:M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12.0"/>
    <col customWidth="1" min="3" max="13" width="7.0"/>
    <col customWidth="1" min="14" max="26" width="8.71"/>
  </cols>
  <sheetData>
    <row r="1">
      <c r="A1" s="1" t="s">
        <v>158</v>
      </c>
    </row>
    <row r="2">
      <c r="C2" s="51" t="s">
        <v>20</v>
      </c>
      <c r="D2" s="51" t="s">
        <v>21</v>
      </c>
      <c r="E2" s="51" t="s">
        <v>22</v>
      </c>
      <c r="F2" s="51" t="s">
        <v>23</v>
      </c>
      <c r="G2" s="51" t="s">
        <v>24</v>
      </c>
      <c r="H2" s="51" t="s">
        <v>25</v>
      </c>
      <c r="I2" s="51" t="s">
        <v>26</v>
      </c>
      <c r="J2" s="51" t="s">
        <v>27</v>
      </c>
      <c r="K2" s="51" t="s">
        <v>28</v>
      </c>
      <c r="L2" s="51" t="s">
        <v>29</v>
      </c>
    </row>
    <row r="3">
      <c r="A3" s="52" t="s">
        <v>59</v>
      </c>
      <c r="B3" s="52" t="s">
        <v>60</v>
      </c>
      <c r="C3" s="53" t="s">
        <v>138</v>
      </c>
      <c r="D3" s="5"/>
      <c r="E3" s="5"/>
      <c r="F3" s="5"/>
      <c r="G3" s="6"/>
      <c r="H3" s="53" t="s">
        <v>138</v>
      </c>
      <c r="I3" s="5"/>
      <c r="J3" s="5"/>
      <c r="K3" s="5"/>
      <c r="L3" s="6"/>
      <c r="M3" s="52" t="s">
        <v>67</v>
      </c>
    </row>
    <row r="4">
      <c r="A4" s="54"/>
      <c r="B4" s="54"/>
      <c r="C4" s="55">
        <v>1.0</v>
      </c>
      <c r="D4" s="55">
        <v>2.0</v>
      </c>
      <c r="E4" s="55">
        <v>3.0</v>
      </c>
      <c r="F4" s="55">
        <v>4.0</v>
      </c>
      <c r="G4" s="55">
        <v>5.0</v>
      </c>
      <c r="H4" s="55">
        <v>1.0</v>
      </c>
      <c r="I4" s="55">
        <v>2.0</v>
      </c>
      <c r="J4" s="55">
        <v>3.0</v>
      </c>
      <c r="K4" s="55">
        <v>4.0</v>
      </c>
      <c r="L4" s="55">
        <v>5.0</v>
      </c>
      <c r="M4" s="54"/>
    </row>
    <row r="5">
      <c r="A5" s="29" t="s">
        <v>159</v>
      </c>
      <c r="B5" s="28">
        <v>20.0</v>
      </c>
      <c r="C5" s="56">
        <v>3.0</v>
      </c>
      <c r="D5" s="56">
        <v>2.0</v>
      </c>
      <c r="E5" s="56">
        <v>3.0</v>
      </c>
      <c r="F5" s="56">
        <v>2.0</v>
      </c>
      <c r="G5" s="56">
        <v>3.0</v>
      </c>
      <c r="H5" s="56">
        <v>3.0</v>
      </c>
      <c r="I5" s="56">
        <v>2.0</v>
      </c>
      <c r="J5" s="56">
        <v>2.0</v>
      </c>
      <c r="K5" s="56">
        <v>0.0</v>
      </c>
      <c r="L5" s="56">
        <v>0.0</v>
      </c>
      <c r="M5" s="21">
        <f t="shared" ref="M5:M12" si="1">SUM(C5:L5)</f>
        <v>20</v>
      </c>
    </row>
    <row r="6">
      <c r="A6" s="29" t="s">
        <v>90</v>
      </c>
      <c r="B6" s="28">
        <v>10.0</v>
      </c>
      <c r="C6" s="56">
        <v>3.0</v>
      </c>
      <c r="D6" s="56">
        <v>2.0</v>
      </c>
      <c r="E6" s="56">
        <v>3.0</v>
      </c>
      <c r="F6" s="56">
        <v>2.0</v>
      </c>
      <c r="G6" s="56">
        <v>0.0</v>
      </c>
      <c r="H6" s="56">
        <v>0.0</v>
      </c>
      <c r="I6" s="56">
        <v>0.0</v>
      </c>
      <c r="J6" s="56">
        <v>0.0</v>
      </c>
      <c r="K6" s="56">
        <v>0.0</v>
      </c>
      <c r="L6" s="56">
        <v>0.0</v>
      </c>
      <c r="M6" s="21">
        <f t="shared" si="1"/>
        <v>10</v>
      </c>
    </row>
    <row r="7">
      <c r="A7" s="29" t="s">
        <v>160</v>
      </c>
      <c r="B7" s="28">
        <v>10.0</v>
      </c>
      <c r="C7" s="56">
        <v>3.0</v>
      </c>
      <c r="D7" s="56">
        <v>3.0</v>
      </c>
      <c r="E7" s="56">
        <v>2.0</v>
      </c>
      <c r="F7" s="56">
        <v>2.0</v>
      </c>
      <c r="G7" s="56">
        <v>0.0</v>
      </c>
      <c r="H7" s="56">
        <v>0.0</v>
      </c>
      <c r="I7" s="56">
        <v>0.0</v>
      </c>
      <c r="J7" s="56">
        <v>0.0</v>
      </c>
      <c r="K7" s="56">
        <v>0.0</v>
      </c>
      <c r="L7" s="56">
        <v>0.0</v>
      </c>
      <c r="M7" s="21">
        <f t="shared" si="1"/>
        <v>10</v>
      </c>
    </row>
    <row r="8">
      <c r="A8" s="29" t="s">
        <v>161</v>
      </c>
      <c r="B8" s="28">
        <v>16.0</v>
      </c>
      <c r="C8" s="56">
        <v>0.0</v>
      </c>
      <c r="D8" s="56">
        <v>0.0</v>
      </c>
      <c r="E8" s="56">
        <v>0.0</v>
      </c>
      <c r="F8" s="56">
        <v>0.0</v>
      </c>
      <c r="G8" s="56">
        <v>3.0</v>
      </c>
      <c r="H8" s="56">
        <v>3.0</v>
      </c>
      <c r="I8" s="56">
        <v>2.0</v>
      </c>
      <c r="J8" s="56">
        <v>3.0</v>
      </c>
      <c r="K8" s="56">
        <v>2.0</v>
      </c>
      <c r="L8" s="56">
        <v>3.0</v>
      </c>
      <c r="M8" s="21">
        <f t="shared" si="1"/>
        <v>16</v>
      </c>
    </row>
    <row r="9">
      <c r="A9" s="29" t="s">
        <v>162</v>
      </c>
      <c r="B9" s="28">
        <v>18.0</v>
      </c>
      <c r="C9" s="56">
        <v>0.0</v>
      </c>
      <c r="D9" s="56">
        <v>0.0</v>
      </c>
      <c r="E9" s="56">
        <v>0.0</v>
      </c>
      <c r="F9" s="56">
        <v>1.0</v>
      </c>
      <c r="G9" s="56">
        <v>3.0</v>
      </c>
      <c r="H9" s="56">
        <v>3.0</v>
      </c>
      <c r="I9" s="56">
        <v>3.0</v>
      </c>
      <c r="J9" s="56">
        <v>2.0</v>
      </c>
      <c r="K9" s="56">
        <v>3.0</v>
      </c>
      <c r="L9" s="56">
        <v>3.0</v>
      </c>
      <c r="M9" s="21">
        <f t="shared" si="1"/>
        <v>18</v>
      </c>
    </row>
    <row r="10">
      <c r="A10" s="29" t="s">
        <v>94</v>
      </c>
      <c r="B10" s="28">
        <v>6.0</v>
      </c>
      <c r="C10" s="56">
        <v>0.0</v>
      </c>
      <c r="D10" s="56">
        <v>0.0</v>
      </c>
      <c r="E10" s="56">
        <v>0.0</v>
      </c>
      <c r="F10" s="56">
        <v>0.0</v>
      </c>
      <c r="G10" s="56">
        <v>0.0</v>
      </c>
      <c r="H10" s="56">
        <v>0.0</v>
      </c>
      <c r="I10" s="56">
        <v>0.0</v>
      </c>
      <c r="J10" s="56">
        <v>1.0</v>
      </c>
      <c r="K10" s="56">
        <v>2.0</v>
      </c>
      <c r="L10" s="56">
        <v>3.0</v>
      </c>
      <c r="M10" s="21">
        <f t="shared" si="1"/>
        <v>6</v>
      </c>
    </row>
    <row r="11">
      <c r="A11" s="39" t="s">
        <v>124</v>
      </c>
      <c r="B11" s="39">
        <f>SUM(B5:B10)</f>
        <v>80</v>
      </c>
      <c r="M11" s="40">
        <f t="shared" si="1"/>
        <v>0</v>
      </c>
    </row>
    <row r="12">
      <c r="A12" s="39" t="s">
        <v>125</v>
      </c>
      <c r="B12" s="40">
        <f>SUM(C12:L12)</f>
        <v>240</v>
      </c>
      <c r="C12" s="41">
        <v>24.0</v>
      </c>
      <c r="D12" s="41">
        <v>24.0</v>
      </c>
      <c r="E12" s="41">
        <v>24.0</v>
      </c>
      <c r="F12" s="41">
        <v>24.0</v>
      </c>
      <c r="G12" s="41">
        <v>24.0</v>
      </c>
      <c r="H12" s="41">
        <v>24.0</v>
      </c>
      <c r="I12" s="41">
        <v>24.0</v>
      </c>
      <c r="J12" s="41">
        <v>24.0</v>
      </c>
      <c r="K12" s="41">
        <v>24.0</v>
      </c>
      <c r="L12" s="41">
        <v>24.0</v>
      </c>
      <c r="M12" s="40">
        <f t="shared" si="1"/>
        <v>240</v>
      </c>
    </row>
    <row r="14">
      <c r="B14" s="42">
        <f>SUM(B5:B10)</f>
        <v>80</v>
      </c>
      <c r="C14" s="42">
        <f>B14</f>
        <v>80</v>
      </c>
      <c r="D14" s="42">
        <f t="shared" ref="D14:M14" si="2">C14-SUM(C5:C10)</f>
        <v>71</v>
      </c>
      <c r="E14" s="42">
        <f t="shared" si="2"/>
        <v>64</v>
      </c>
      <c r="F14" s="42">
        <f t="shared" si="2"/>
        <v>56</v>
      </c>
      <c r="G14" s="42">
        <f t="shared" si="2"/>
        <v>49</v>
      </c>
      <c r="H14" s="42">
        <f t="shared" si="2"/>
        <v>40</v>
      </c>
      <c r="I14" s="42">
        <f t="shared" si="2"/>
        <v>31</v>
      </c>
      <c r="J14" s="42">
        <f t="shared" si="2"/>
        <v>24</v>
      </c>
      <c r="K14" s="42">
        <f t="shared" si="2"/>
        <v>16</v>
      </c>
      <c r="L14" s="42">
        <f t="shared" si="2"/>
        <v>9</v>
      </c>
      <c r="M14" s="42">
        <f t="shared" si="2"/>
        <v>0</v>
      </c>
    </row>
    <row r="15">
      <c r="A15" s="39" t="s">
        <v>126</v>
      </c>
      <c r="C15" s="40">
        <f t="shared" ref="C15:L15" si="3">D14</f>
        <v>71</v>
      </c>
      <c r="D15" s="40">
        <f t="shared" si="3"/>
        <v>64</v>
      </c>
      <c r="E15" s="40">
        <f t="shared" si="3"/>
        <v>56</v>
      </c>
      <c r="F15" s="40">
        <f t="shared" si="3"/>
        <v>49</v>
      </c>
      <c r="G15" s="40">
        <f t="shared" si="3"/>
        <v>40</v>
      </c>
      <c r="H15" s="40">
        <f t="shared" si="3"/>
        <v>31</v>
      </c>
      <c r="I15" s="40">
        <f t="shared" si="3"/>
        <v>24</v>
      </c>
      <c r="J15" s="40">
        <f t="shared" si="3"/>
        <v>16</v>
      </c>
      <c r="K15" s="40">
        <f t="shared" si="3"/>
        <v>9</v>
      </c>
      <c r="L15" s="40">
        <f t="shared" si="3"/>
        <v>0</v>
      </c>
    </row>
    <row r="16">
      <c r="B16" s="42">
        <f>SUM(B5:B10)</f>
        <v>80</v>
      </c>
      <c r="C16" s="42">
        <f>B16</f>
        <v>80</v>
      </c>
      <c r="D16" s="42">
        <f>C16-SUM(B5:B10)/10</f>
        <v>72</v>
      </c>
      <c r="E16" s="42">
        <f>D16-SUM(B5:B10)/10</f>
        <v>64</v>
      </c>
      <c r="F16" s="42">
        <f>E16-SUM(B5:B10)/10</f>
        <v>56</v>
      </c>
      <c r="G16" s="42">
        <f>F16-SUM(B5:B10)/10</f>
        <v>48</v>
      </c>
      <c r="H16" s="42">
        <f>G16-SUM(B5:B10)/10</f>
        <v>40</v>
      </c>
      <c r="I16" s="42">
        <f>H16-SUM(B5:B10)/10</f>
        <v>32</v>
      </c>
      <c r="J16" s="42">
        <f>I16-SUM(B5:B10)/10</f>
        <v>24</v>
      </c>
      <c r="K16" s="42">
        <f>J16-SUM(B5:B10)/10</f>
        <v>16</v>
      </c>
      <c r="L16" s="42">
        <f>K16-SUM(B5:B10)/10</f>
        <v>8</v>
      </c>
      <c r="M16" s="42">
        <f>L16-SUM(B5:B10)/10</f>
        <v>0</v>
      </c>
    </row>
    <row r="17">
      <c r="A17" s="39" t="s">
        <v>127</v>
      </c>
      <c r="C17" s="40">
        <f t="shared" ref="C17:L17" si="4">D16</f>
        <v>72</v>
      </c>
      <c r="D17" s="40">
        <f t="shared" si="4"/>
        <v>64</v>
      </c>
      <c r="E17" s="40">
        <f t="shared" si="4"/>
        <v>56</v>
      </c>
      <c r="F17" s="40">
        <f t="shared" si="4"/>
        <v>48</v>
      </c>
      <c r="G17" s="40">
        <f t="shared" si="4"/>
        <v>40</v>
      </c>
      <c r="H17" s="40">
        <f t="shared" si="4"/>
        <v>32</v>
      </c>
      <c r="I17" s="40">
        <f t="shared" si="4"/>
        <v>24</v>
      </c>
      <c r="J17" s="40">
        <f t="shared" si="4"/>
        <v>16</v>
      </c>
      <c r="K17" s="40">
        <f t="shared" si="4"/>
        <v>8</v>
      </c>
      <c r="L17" s="40">
        <f t="shared" si="4"/>
        <v>0</v>
      </c>
    </row>
    <row r="19">
      <c r="A19" s="39" t="s">
        <v>145</v>
      </c>
      <c r="B19" s="40" t="s">
        <v>146</v>
      </c>
      <c r="E19" s="40" t="s">
        <v>147</v>
      </c>
      <c r="J19" s="40" t="s">
        <v>148</v>
      </c>
      <c r="M19" s="40" t="s">
        <v>156</v>
      </c>
    </row>
    <row r="20">
      <c r="A20" s="50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G3"/>
    <mergeCell ref="H3:L3"/>
    <mergeCell ref="M3:M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12.0"/>
    <col customWidth="1" min="3" max="12" width="7.0"/>
    <col customWidth="1" min="13" max="26" width="8.71"/>
  </cols>
  <sheetData>
    <row r="1">
      <c r="A1" s="1" t="s">
        <v>163</v>
      </c>
    </row>
    <row r="2">
      <c r="C2" s="51" t="s">
        <v>30</v>
      </c>
      <c r="D2" s="51" t="s">
        <v>31</v>
      </c>
      <c r="E2" s="51" t="s">
        <v>32</v>
      </c>
      <c r="F2" s="51" t="s">
        <v>33</v>
      </c>
      <c r="G2" s="51" t="s">
        <v>34</v>
      </c>
      <c r="H2" s="51" t="s">
        <v>35</v>
      </c>
      <c r="I2" s="51" t="s">
        <v>36</v>
      </c>
      <c r="J2" s="51" t="s">
        <v>37</v>
      </c>
      <c r="K2" s="51" t="s">
        <v>38</v>
      </c>
    </row>
    <row r="3">
      <c r="A3" s="52" t="s">
        <v>59</v>
      </c>
      <c r="B3" s="52" t="s">
        <v>60</v>
      </c>
      <c r="C3" s="53" t="s">
        <v>138</v>
      </c>
      <c r="D3" s="5"/>
      <c r="E3" s="5"/>
      <c r="F3" s="5"/>
      <c r="G3" s="6"/>
      <c r="H3" s="53" t="s">
        <v>138</v>
      </c>
      <c r="I3" s="5"/>
      <c r="J3" s="5"/>
      <c r="K3" s="6"/>
      <c r="L3" s="52" t="s">
        <v>67</v>
      </c>
    </row>
    <row r="4">
      <c r="A4" s="54"/>
      <c r="B4" s="54"/>
      <c r="C4" s="55">
        <v>1.0</v>
      </c>
      <c r="D4" s="55">
        <v>2.0</v>
      </c>
      <c r="E4" s="55">
        <v>3.0</v>
      </c>
      <c r="F4" s="55">
        <v>4.0</v>
      </c>
      <c r="G4" s="55">
        <v>5.0</v>
      </c>
      <c r="H4" s="55">
        <v>1.0</v>
      </c>
      <c r="I4" s="55">
        <v>2.0</v>
      </c>
      <c r="J4" s="55">
        <v>3.0</v>
      </c>
      <c r="K4" s="55">
        <v>4.0</v>
      </c>
      <c r="L4" s="54"/>
    </row>
    <row r="5">
      <c r="A5" s="30" t="s">
        <v>95</v>
      </c>
      <c r="B5" s="31">
        <v>10.0</v>
      </c>
      <c r="C5" s="56">
        <v>4.0</v>
      </c>
      <c r="D5" s="56">
        <v>4.0</v>
      </c>
      <c r="E5" s="56">
        <v>2.0</v>
      </c>
      <c r="F5" s="56">
        <v>0.0</v>
      </c>
      <c r="G5" s="56">
        <v>0.0</v>
      </c>
      <c r="H5" s="56">
        <v>0.0</v>
      </c>
      <c r="I5" s="56">
        <v>0.0</v>
      </c>
      <c r="J5" s="56">
        <v>0.0</v>
      </c>
      <c r="K5" s="56">
        <v>0.0</v>
      </c>
      <c r="L5" s="21">
        <f t="shared" ref="L5:L15" si="1">SUM(C5:K5)</f>
        <v>10</v>
      </c>
    </row>
    <row r="6">
      <c r="A6" s="30" t="s">
        <v>164</v>
      </c>
      <c r="B6" s="31">
        <v>10.0</v>
      </c>
      <c r="C6" s="56">
        <v>4.0</v>
      </c>
      <c r="D6" s="56">
        <v>4.0</v>
      </c>
      <c r="E6" s="56">
        <v>2.0</v>
      </c>
      <c r="F6" s="56">
        <v>0.0</v>
      </c>
      <c r="G6" s="56">
        <v>0.0</v>
      </c>
      <c r="H6" s="56">
        <v>0.0</v>
      </c>
      <c r="I6" s="56">
        <v>0.0</v>
      </c>
      <c r="J6" s="56">
        <v>0.0</v>
      </c>
      <c r="K6" s="56">
        <v>0.0</v>
      </c>
      <c r="L6" s="21">
        <f t="shared" si="1"/>
        <v>10</v>
      </c>
    </row>
    <row r="7">
      <c r="A7" s="30" t="s">
        <v>165</v>
      </c>
      <c r="B7" s="31">
        <v>4.0</v>
      </c>
      <c r="C7" s="56">
        <v>4.0</v>
      </c>
      <c r="D7" s="56">
        <v>0.0</v>
      </c>
      <c r="E7" s="56">
        <v>0.0</v>
      </c>
      <c r="F7" s="56">
        <v>0.0</v>
      </c>
      <c r="G7" s="56">
        <v>0.0</v>
      </c>
      <c r="H7" s="56">
        <v>0.0</v>
      </c>
      <c r="I7" s="56">
        <v>0.0</v>
      </c>
      <c r="J7" s="56">
        <v>0.0</v>
      </c>
      <c r="K7" s="56">
        <v>0.0</v>
      </c>
      <c r="L7" s="21">
        <f t="shared" si="1"/>
        <v>4</v>
      </c>
    </row>
    <row r="8">
      <c r="A8" s="30" t="s">
        <v>98</v>
      </c>
      <c r="B8" s="31">
        <v>10.0</v>
      </c>
      <c r="C8" s="56">
        <v>0.0</v>
      </c>
      <c r="D8" s="56">
        <v>4.0</v>
      </c>
      <c r="E8" s="56">
        <v>5.0</v>
      </c>
      <c r="F8" s="56">
        <v>1.0</v>
      </c>
      <c r="G8" s="56">
        <v>0.0</v>
      </c>
      <c r="H8" s="56">
        <v>0.0</v>
      </c>
      <c r="I8" s="56">
        <v>0.0</v>
      </c>
      <c r="J8" s="56">
        <v>0.0</v>
      </c>
      <c r="K8" s="56">
        <v>0.0</v>
      </c>
      <c r="L8" s="21">
        <f t="shared" si="1"/>
        <v>10</v>
      </c>
    </row>
    <row r="9">
      <c r="A9" s="30" t="s">
        <v>166</v>
      </c>
      <c r="B9" s="31">
        <v>8.0</v>
      </c>
      <c r="C9" s="56">
        <v>0.0</v>
      </c>
      <c r="D9" s="56">
        <v>0.0</v>
      </c>
      <c r="E9" s="56">
        <v>3.0</v>
      </c>
      <c r="F9" s="56">
        <v>4.0</v>
      </c>
      <c r="G9" s="56">
        <v>1.0</v>
      </c>
      <c r="H9" s="56">
        <v>0.0</v>
      </c>
      <c r="I9" s="56">
        <v>0.0</v>
      </c>
      <c r="J9" s="56">
        <v>0.0</v>
      </c>
      <c r="K9" s="56">
        <v>0.0</v>
      </c>
      <c r="L9" s="21">
        <f t="shared" si="1"/>
        <v>8</v>
      </c>
    </row>
    <row r="10">
      <c r="A10" s="30" t="s">
        <v>167</v>
      </c>
      <c r="B10" s="31">
        <v>6.0</v>
      </c>
      <c r="C10" s="56">
        <v>0.0</v>
      </c>
      <c r="D10" s="56">
        <v>0.0</v>
      </c>
      <c r="E10" s="56">
        <v>2.0</v>
      </c>
      <c r="F10" s="56">
        <v>4.0</v>
      </c>
      <c r="G10" s="56">
        <v>0.0</v>
      </c>
      <c r="H10" s="56">
        <v>0.0</v>
      </c>
      <c r="I10" s="56">
        <v>0.0</v>
      </c>
      <c r="J10" s="56">
        <v>0.0</v>
      </c>
      <c r="K10" s="56">
        <v>0.0</v>
      </c>
      <c r="L10" s="21">
        <f t="shared" si="1"/>
        <v>6</v>
      </c>
    </row>
    <row r="11">
      <c r="A11" s="30" t="s">
        <v>168</v>
      </c>
      <c r="B11" s="31">
        <v>20.0</v>
      </c>
      <c r="C11" s="56">
        <v>0.0</v>
      </c>
      <c r="D11" s="56">
        <v>0.0</v>
      </c>
      <c r="E11" s="56">
        <v>0.0</v>
      </c>
      <c r="F11" s="56">
        <v>0.0</v>
      </c>
      <c r="G11" s="56">
        <v>3.0</v>
      </c>
      <c r="H11" s="56">
        <v>4.0</v>
      </c>
      <c r="I11" s="56">
        <v>5.0</v>
      </c>
      <c r="J11" s="56">
        <v>4.0</v>
      </c>
      <c r="K11" s="56">
        <v>4.0</v>
      </c>
      <c r="L11" s="21">
        <f t="shared" si="1"/>
        <v>20</v>
      </c>
    </row>
    <row r="12">
      <c r="A12" s="30" t="s">
        <v>169</v>
      </c>
      <c r="B12" s="31">
        <v>24.0</v>
      </c>
      <c r="C12" s="56">
        <v>0.0</v>
      </c>
      <c r="D12" s="56">
        <v>0.0</v>
      </c>
      <c r="E12" s="56">
        <v>0.0</v>
      </c>
      <c r="F12" s="56">
        <v>3.0</v>
      </c>
      <c r="G12" s="56">
        <v>4.0</v>
      </c>
      <c r="H12" s="56">
        <v>4.0</v>
      </c>
      <c r="I12" s="56">
        <v>5.0</v>
      </c>
      <c r="J12" s="56">
        <v>4.0</v>
      </c>
      <c r="K12" s="56">
        <v>4.0</v>
      </c>
      <c r="L12" s="21">
        <f t="shared" si="1"/>
        <v>24</v>
      </c>
    </row>
    <row r="13">
      <c r="A13" s="30" t="s">
        <v>103</v>
      </c>
      <c r="B13" s="31">
        <v>20.0</v>
      </c>
      <c r="C13" s="56">
        <v>0.0</v>
      </c>
      <c r="D13" s="56">
        <v>0.0</v>
      </c>
      <c r="E13" s="56">
        <v>0.0</v>
      </c>
      <c r="F13" s="56">
        <v>0.0</v>
      </c>
      <c r="G13" s="56">
        <v>4.0</v>
      </c>
      <c r="H13" s="56">
        <v>4.0</v>
      </c>
      <c r="I13" s="56">
        <v>4.0</v>
      </c>
      <c r="J13" s="56">
        <v>4.0</v>
      </c>
      <c r="K13" s="56">
        <v>4.0</v>
      </c>
      <c r="L13" s="21">
        <f t="shared" si="1"/>
        <v>20</v>
      </c>
    </row>
    <row r="14">
      <c r="A14" s="39" t="s">
        <v>124</v>
      </c>
      <c r="B14" s="39">
        <f>SUM(B5:B13)</f>
        <v>112</v>
      </c>
      <c r="L14" s="40">
        <f t="shared" si="1"/>
        <v>0</v>
      </c>
    </row>
    <row r="15">
      <c r="A15" s="39" t="s">
        <v>125</v>
      </c>
      <c r="B15" s="40">
        <f>SUM(C15:K15)</f>
        <v>216</v>
      </c>
      <c r="C15" s="41">
        <v>24.0</v>
      </c>
      <c r="D15" s="41">
        <v>24.0</v>
      </c>
      <c r="E15" s="41">
        <v>24.0</v>
      </c>
      <c r="F15" s="41">
        <v>24.0</v>
      </c>
      <c r="G15" s="41">
        <v>24.0</v>
      </c>
      <c r="H15" s="41">
        <v>24.0</v>
      </c>
      <c r="I15" s="41">
        <v>24.0</v>
      </c>
      <c r="J15" s="41">
        <v>24.0</v>
      </c>
      <c r="K15" s="41">
        <v>24.0</v>
      </c>
      <c r="L15" s="40">
        <f t="shared" si="1"/>
        <v>216</v>
      </c>
    </row>
    <row r="17">
      <c r="B17" s="42">
        <f>SUM(B5:B13)</f>
        <v>112</v>
      </c>
      <c r="C17" s="42">
        <f>B17</f>
        <v>112</v>
      </c>
      <c r="D17" s="42">
        <f t="shared" ref="D17:L17" si="2">C17-SUM(C5:C13)</f>
        <v>100</v>
      </c>
      <c r="E17" s="42">
        <f t="shared" si="2"/>
        <v>88</v>
      </c>
      <c r="F17" s="42">
        <f t="shared" si="2"/>
        <v>74</v>
      </c>
      <c r="G17" s="42">
        <f t="shared" si="2"/>
        <v>62</v>
      </c>
      <c r="H17" s="42">
        <f t="shared" si="2"/>
        <v>50</v>
      </c>
      <c r="I17" s="42">
        <f t="shared" si="2"/>
        <v>38</v>
      </c>
      <c r="J17" s="42">
        <f t="shared" si="2"/>
        <v>24</v>
      </c>
      <c r="K17" s="42">
        <f t="shared" si="2"/>
        <v>12</v>
      </c>
      <c r="L17" s="42">
        <f t="shared" si="2"/>
        <v>0</v>
      </c>
    </row>
    <row r="18">
      <c r="A18" s="39" t="s">
        <v>126</v>
      </c>
      <c r="C18" s="40">
        <f t="shared" ref="C18:K18" si="3">D17</f>
        <v>100</v>
      </c>
      <c r="D18" s="40">
        <f t="shared" si="3"/>
        <v>88</v>
      </c>
      <c r="E18" s="40">
        <f t="shared" si="3"/>
        <v>74</v>
      </c>
      <c r="F18" s="40">
        <f t="shared" si="3"/>
        <v>62</v>
      </c>
      <c r="G18" s="40">
        <f t="shared" si="3"/>
        <v>50</v>
      </c>
      <c r="H18" s="40">
        <f t="shared" si="3"/>
        <v>38</v>
      </c>
      <c r="I18" s="40">
        <f t="shared" si="3"/>
        <v>24</v>
      </c>
      <c r="J18" s="40">
        <f t="shared" si="3"/>
        <v>12</v>
      </c>
      <c r="K18" s="40">
        <f t="shared" si="3"/>
        <v>0</v>
      </c>
    </row>
    <row r="19">
      <c r="B19" s="42">
        <f>SUM(B5:B13)</f>
        <v>112</v>
      </c>
      <c r="C19" s="42">
        <f>B19</f>
        <v>112</v>
      </c>
      <c r="D19" s="42">
        <f>C19-SUM(B5:B13)/9</f>
        <v>99.55555556</v>
      </c>
      <c r="E19" s="42">
        <f>D19-SUM(B5:B13)/9</f>
        <v>87.11111111</v>
      </c>
      <c r="F19" s="42">
        <f>E19-SUM(B5:B13)/9</f>
        <v>74.66666667</v>
      </c>
      <c r="G19" s="42">
        <f>F19-SUM(B5:B13)/9</f>
        <v>62.22222222</v>
      </c>
      <c r="H19" s="42">
        <f>G19-SUM(B5:B13)/9</f>
        <v>49.77777778</v>
      </c>
      <c r="I19" s="42">
        <f>H19-SUM(B5:B13)/9</f>
        <v>37.33333333</v>
      </c>
      <c r="J19" s="42">
        <f>I19-SUM(B5:B13)/9</f>
        <v>24.88888889</v>
      </c>
      <c r="K19" s="42">
        <f>J19-SUM(B5:B13)/9</f>
        <v>12.44444444</v>
      </c>
      <c r="L19" s="42">
        <f>K19-SUM(B5:B13)/9</f>
        <v>0</v>
      </c>
    </row>
    <row r="20">
      <c r="A20" s="39" t="s">
        <v>127</v>
      </c>
      <c r="C20" s="40">
        <f t="shared" ref="C20:K20" si="4">D19</f>
        <v>99.55555556</v>
      </c>
      <c r="D20" s="40">
        <f t="shared" si="4"/>
        <v>87.11111111</v>
      </c>
      <c r="E20" s="40">
        <f t="shared" si="4"/>
        <v>74.66666667</v>
      </c>
      <c r="F20" s="40">
        <f t="shared" si="4"/>
        <v>62.22222222</v>
      </c>
      <c r="G20" s="40">
        <f t="shared" si="4"/>
        <v>49.77777778</v>
      </c>
      <c r="H20" s="40">
        <f t="shared" si="4"/>
        <v>37.33333333</v>
      </c>
      <c r="I20" s="40">
        <f t="shared" si="4"/>
        <v>24.88888889</v>
      </c>
      <c r="J20" s="40">
        <f t="shared" si="4"/>
        <v>12.44444444</v>
      </c>
      <c r="K20" s="40">
        <f t="shared" si="4"/>
        <v>0</v>
      </c>
    </row>
    <row r="21" ht="15.75" customHeight="1"/>
    <row r="22" ht="15.75" customHeight="1">
      <c r="A22" s="39" t="s">
        <v>145</v>
      </c>
      <c r="B22" s="40" t="s">
        <v>146</v>
      </c>
      <c r="E22" s="40" t="s">
        <v>147</v>
      </c>
      <c r="J22" s="40" t="s">
        <v>148</v>
      </c>
      <c r="M22" s="40" t="s">
        <v>149</v>
      </c>
    </row>
    <row r="23" ht="15.75" customHeight="1">
      <c r="A23" s="50" t="s">
        <v>150</v>
      </c>
    </row>
    <row r="24" ht="15.75" customHeight="1">
      <c r="A24" s="50" t="s">
        <v>170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G3"/>
    <mergeCell ref="H3:K3"/>
    <mergeCell ref="L3:L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12.0"/>
    <col customWidth="1" min="3" max="13" width="7.0"/>
    <col customWidth="1" min="14" max="26" width="8.71"/>
  </cols>
  <sheetData>
    <row r="1">
      <c r="A1" s="1" t="s">
        <v>171</v>
      </c>
    </row>
    <row r="2">
      <c r="C2" s="51" t="s">
        <v>39</v>
      </c>
      <c r="D2" s="51" t="s">
        <v>40</v>
      </c>
      <c r="E2" s="51" t="s">
        <v>41</v>
      </c>
      <c r="F2" s="51" t="s">
        <v>42</v>
      </c>
      <c r="G2" s="51" t="s">
        <v>43</v>
      </c>
      <c r="H2" s="51" t="s">
        <v>44</v>
      </c>
      <c r="I2" s="51" t="s">
        <v>45</v>
      </c>
      <c r="J2" s="51" t="s">
        <v>46</v>
      </c>
      <c r="K2" s="51" t="s">
        <v>47</v>
      </c>
      <c r="L2" s="51" t="s">
        <v>48</v>
      </c>
    </row>
    <row r="3">
      <c r="A3" s="52" t="s">
        <v>59</v>
      </c>
      <c r="B3" s="52" t="s">
        <v>60</v>
      </c>
      <c r="C3" s="53" t="s">
        <v>138</v>
      </c>
      <c r="D3" s="5"/>
      <c r="E3" s="5"/>
      <c r="F3" s="5"/>
      <c r="G3" s="6"/>
      <c r="H3" s="53" t="s">
        <v>138</v>
      </c>
      <c r="I3" s="5"/>
      <c r="J3" s="5"/>
      <c r="K3" s="5"/>
      <c r="L3" s="6"/>
      <c r="M3" s="52" t="s">
        <v>67</v>
      </c>
    </row>
    <row r="4">
      <c r="A4" s="54"/>
      <c r="B4" s="54"/>
      <c r="C4" s="55">
        <v>1.0</v>
      </c>
      <c r="D4" s="55">
        <v>2.0</v>
      </c>
      <c r="E4" s="55">
        <v>3.0</v>
      </c>
      <c r="F4" s="55">
        <v>4.0</v>
      </c>
      <c r="G4" s="55">
        <v>5.0</v>
      </c>
      <c r="H4" s="55">
        <v>1.0</v>
      </c>
      <c r="I4" s="55">
        <v>2.0</v>
      </c>
      <c r="J4" s="55">
        <v>3.0</v>
      </c>
      <c r="K4" s="55">
        <v>4.0</v>
      </c>
      <c r="L4" s="55">
        <v>5.0</v>
      </c>
      <c r="M4" s="54"/>
    </row>
    <row r="5">
      <c r="A5" s="35" t="s">
        <v>172</v>
      </c>
      <c r="B5" s="34">
        <v>16.0</v>
      </c>
      <c r="C5" s="56">
        <v>3.0</v>
      </c>
      <c r="D5" s="56">
        <v>3.0</v>
      </c>
      <c r="E5" s="56">
        <v>4.0</v>
      </c>
      <c r="F5" s="56">
        <v>3.0</v>
      </c>
      <c r="G5" s="56">
        <v>3.0</v>
      </c>
      <c r="H5" s="56">
        <v>0.0</v>
      </c>
      <c r="I5" s="56">
        <v>0.0</v>
      </c>
      <c r="J5" s="56">
        <v>0.0</v>
      </c>
      <c r="K5" s="56">
        <v>0.0</v>
      </c>
      <c r="L5" s="56">
        <v>0.0</v>
      </c>
      <c r="M5" s="21">
        <f t="shared" ref="M5:M15" si="1">SUM(C5:L5)</f>
        <v>16</v>
      </c>
    </row>
    <row r="6">
      <c r="A6" s="35" t="s">
        <v>105</v>
      </c>
      <c r="B6" s="34">
        <v>28.0</v>
      </c>
      <c r="C6" s="56">
        <v>4.0</v>
      </c>
      <c r="D6" s="56">
        <v>3.0</v>
      </c>
      <c r="E6" s="56">
        <v>4.0</v>
      </c>
      <c r="F6" s="56">
        <v>3.0</v>
      </c>
      <c r="G6" s="56">
        <v>4.0</v>
      </c>
      <c r="H6" s="56">
        <v>4.0</v>
      </c>
      <c r="I6" s="56">
        <v>3.0</v>
      </c>
      <c r="J6" s="56">
        <v>3.0</v>
      </c>
      <c r="K6" s="56">
        <v>0.0</v>
      </c>
      <c r="L6" s="56">
        <v>0.0</v>
      </c>
      <c r="M6" s="21">
        <f t="shared" si="1"/>
        <v>28</v>
      </c>
    </row>
    <row r="7">
      <c r="A7" s="35" t="s">
        <v>173</v>
      </c>
      <c r="B7" s="34">
        <v>20.0</v>
      </c>
      <c r="C7" s="56">
        <v>4.0</v>
      </c>
      <c r="D7" s="56">
        <v>3.0</v>
      </c>
      <c r="E7" s="56">
        <v>4.0</v>
      </c>
      <c r="F7" s="56">
        <v>3.0</v>
      </c>
      <c r="G7" s="56">
        <v>4.0</v>
      </c>
      <c r="H7" s="56">
        <v>2.0</v>
      </c>
      <c r="I7" s="56">
        <v>0.0</v>
      </c>
      <c r="J7" s="56">
        <v>0.0</v>
      </c>
      <c r="K7" s="56">
        <v>0.0</v>
      </c>
      <c r="L7" s="56">
        <v>0.0</v>
      </c>
      <c r="M7" s="21">
        <f t="shared" si="1"/>
        <v>20</v>
      </c>
    </row>
    <row r="8">
      <c r="A8" s="35" t="s">
        <v>107</v>
      </c>
      <c r="B8" s="34">
        <v>4.0</v>
      </c>
      <c r="C8" s="56">
        <v>0.0</v>
      </c>
      <c r="D8" s="56">
        <v>0.0</v>
      </c>
      <c r="E8" s="56">
        <v>0.0</v>
      </c>
      <c r="F8" s="56">
        <v>0.0</v>
      </c>
      <c r="G8" s="56">
        <v>0.0</v>
      </c>
      <c r="H8" s="56">
        <v>2.0</v>
      </c>
      <c r="I8" s="56">
        <v>2.0</v>
      </c>
      <c r="J8" s="56">
        <v>0.0</v>
      </c>
      <c r="K8" s="56">
        <v>0.0</v>
      </c>
      <c r="L8" s="56">
        <v>0.0</v>
      </c>
      <c r="M8" s="21">
        <f t="shared" si="1"/>
        <v>4</v>
      </c>
    </row>
    <row r="9">
      <c r="A9" s="35" t="s">
        <v>174</v>
      </c>
      <c r="B9" s="34">
        <v>12.0</v>
      </c>
      <c r="C9" s="56">
        <v>0.0</v>
      </c>
      <c r="D9" s="56">
        <v>0.0</v>
      </c>
      <c r="E9" s="56">
        <v>0.0</v>
      </c>
      <c r="F9" s="56">
        <v>0.0</v>
      </c>
      <c r="G9" s="56">
        <v>0.0</v>
      </c>
      <c r="H9" s="56">
        <v>3.0</v>
      </c>
      <c r="I9" s="56">
        <v>3.0</v>
      </c>
      <c r="J9" s="56">
        <v>4.0</v>
      </c>
      <c r="K9" s="56">
        <v>2.0</v>
      </c>
      <c r="L9" s="56">
        <v>0.0</v>
      </c>
      <c r="M9" s="21">
        <f t="shared" si="1"/>
        <v>12</v>
      </c>
    </row>
    <row r="10">
      <c r="A10" s="35" t="s">
        <v>109</v>
      </c>
      <c r="B10" s="34">
        <v>8.0</v>
      </c>
      <c r="C10" s="56">
        <v>0.0</v>
      </c>
      <c r="D10" s="56">
        <v>0.0</v>
      </c>
      <c r="E10" s="56">
        <v>0.0</v>
      </c>
      <c r="F10" s="56">
        <v>0.0</v>
      </c>
      <c r="G10" s="56">
        <v>0.0</v>
      </c>
      <c r="H10" s="56">
        <v>0.0</v>
      </c>
      <c r="I10" s="56">
        <v>1.0</v>
      </c>
      <c r="J10" s="56">
        <v>4.0</v>
      </c>
      <c r="K10" s="56">
        <v>3.0</v>
      </c>
      <c r="L10" s="56">
        <v>0.0</v>
      </c>
      <c r="M10" s="21">
        <f t="shared" si="1"/>
        <v>8</v>
      </c>
    </row>
    <row r="11">
      <c r="A11" s="35" t="s">
        <v>175</v>
      </c>
      <c r="B11" s="34">
        <v>8.0</v>
      </c>
      <c r="C11" s="56">
        <v>0.0</v>
      </c>
      <c r="D11" s="56">
        <v>0.0</v>
      </c>
      <c r="E11" s="56">
        <v>0.0</v>
      </c>
      <c r="F11" s="56">
        <v>0.0</v>
      </c>
      <c r="G11" s="56">
        <v>0.0</v>
      </c>
      <c r="H11" s="56">
        <v>0.0</v>
      </c>
      <c r="I11" s="56">
        <v>0.0</v>
      </c>
      <c r="J11" s="56">
        <v>1.0</v>
      </c>
      <c r="K11" s="56">
        <v>3.0</v>
      </c>
      <c r="L11" s="56">
        <v>4.0</v>
      </c>
      <c r="M11" s="21">
        <f t="shared" si="1"/>
        <v>8</v>
      </c>
    </row>
    <row r="12">
      <c r="A12" s="35" t="s">
        <v>111</v>
      </c>
      <c r="B12" s="34">
        <v>4.0</v>
      </c>
      <c r="C12" s="56">
        <v>0.0</v>
      </c>
      <c r="D12" s="56">
        <v>0.0</v>
      </c>
      <c r="E12" s="56">
        <v>0.0</v>
      </c>
      <c r="F12" s="56">
        <v>0.0</v>
      </c>
      <c r="G12" s="56">
        <v>0.0</v>
      </c>
      <c r="H12" s="56">
        <v>0.0</v>
      </c>
      <c r="I12" s="56">
        <v>0.0</v>
      </c>
      <c r="J12" s="56">
        <v>0.0</v>
      </c>
      <c r="K12" s="56">
        <v>1.0</v>
      </c>
      <c r="L12" s="56">
        <v>3.0</v>
      </c>
      <c r="M12" s="21">
        <f t="shared" si="1"/>
        <v>4</v>
      </c>
    </row>
    <row r="13">
      <c r="A13" s="35" t="s">
        <v>176</v>
      </c>
      <c r="B13" s="34">
        <v>4.0</v>
      </c>
      <c r="C13" s="56">
        <v>0.0</v>
      </c>
      <c r="D13" s="56">
        <v>0.0</v>
      </c>
      <c r="E13" s="56">
        <v>0.0</v>
      </c>
      <c r="F13" s="56">
        <v>0.0</v>
      </c>
      <c r="G13" s="56">
        <v>0.0</v>
      </c>
      <c r="H13" s="56">
        <v>0.0</v>
      </c>
      <c r="I13" s="56">
        <v>0.0</v>
      </c>
      <c r="J13" s="56">
        <v>0.0</v>
      </c>
      <c r="K13" s="56">
        <v>0.0</v>
      </c>
      <c r="L13" s="56">
        <v>4.0</v>
      </c>
      <c r="M13" s="21">
        <f t="shared" si="1"/>
        <v>4</v>
      </c>
    </row>
    <row r="14">
      <c r="A14" s="39" t="s">
        <v>124</v>
      </c>
      <c r="B14" s="39">
        <f>SUM(B5:B13)</f>
        <v>104</v>
      </c>
      <c r="M14" s="40">
        <f t="shared" si="1"/>
        <v>0</v>
      </c>
    </row>
    <row r="15">
      <c r="A15" s="39" t="s">
        <v>125</v>
      </c>
      <c r="B15" s="40">
        <f>SUM(C15:L15)</f>
        <v>240</v>
      </c>
      <c r="C15" s="41">
        <v>24.0</v>
      </c>
      <c r="D15" s="41">
        <v>24.0</v>
      </c>
      <c r="E15" s="41">
        <v>24.0</v>
      </c>
      <c r="F15" s="41">
        <v>24.0</v>
      </c>
      <c r="G15" s="41">
        <v>24.0</v>
      </c>
      <c r="H15" s="41">
        <v>24.0</v>
      </c>
      <c r="I15" s="41">
        <v>24.0</v>
      </c>
      <c r="J15" s="41">
        <v>24.0</v>
      </c>
      <c r="K15" s="41">
        <v>24.0</v>
      </c>
      <c r="L15" s="41">
        <v>24.0</v>
      </c>
      <c r="M15" s="40">
        <f t="shared" si="1"/>
        <v>240</v>
      </c>
    </row>
    <row r="17">
      <c r="B17" s="42">
        <f>SUM(B5:B13)</f>
        <v>104</v>
      </c>
      <c r="C17" s="42">
        <f>B17</f>
        <v>104</v>
      </c>
      <c r="D17" s="42">
        <f t="shared" ref="D17:M17" si="2">C17-SUM(C5:C13)</f>
        <v>93</v>
      </c>
      <c r="E17" s="42">
        <f t="shared" si="2"/>
        <v>84</v>
      </c>
      <c r="F17" s="42">
        <f t="shared" si="2"/>
        <v>72</v>
      </c>
      <c r="G17" s="42">
        <f t="shared" si="2"/>
        <v>63</v>
      </c>
      <c r="H17" s="42">
        <f t="shared" si="2"/>
        <v>52</v>
      </c>
      <c r="I17" s="42">
        <f t="shared" si="2"/>
        <v>41</v>
      </c>
      <c r="J17" s="42">
        <f t="shared" si="2"/>
        <v>32</v>
      </c>
      <c r="K17" s="42">
        <f t="shared" si="2"/>
        <v>20</v>
      </c>
      <c r="L17" s="42">
        <f t="shared" si="2"/>
        <v>11</v>
      </c>
      <c r="M17" s="42">
        <f t="shared" si="2"/>
        <v>0</v>
      </c>
    </row>
    <row r="18">
      <c r="A18" s="39" t="s">
        <v>126</v>
      </c>
      <c r="C18" s="40">
        <f t="shared" ref="C18:L18" si="3">D17</f>
        <v>93</v>
      </c>
      <c r="D18" s="40">
        <f t="shared" si="3"/>
        <v>84</v>
      </c>
      <c r="E18" s="40">
        <f t="shared" si="3"/>
        <v>72</v>
      </c>
      <c r="F18" s="40">
        <f t="shared" si="3"/>
        <v>63</v>
      </c>
      <c r="G18" s="40">
        <f t="shared" si="3"/>
        <v>52</v>
      </c>
      <c r="H18" s="40">
        <f t="shared" si="3"/>
        <v>41</v>
      </c>
      <c r="I18" s="40">
        <f t="shared" si="3"/>
        <v>32</v>
      </c>
      <c r="J18" s="40">
        <f t="shared" si="3"/>
        <v>20</v>
      </c>
      <c r="K18" s="40">
        <f t="shared" si="3"/>
        <v>11</v>
      </c>
      <c r="L18" s="40">
        <f t="shared" si="3"/>
        <v>0</v>
      </c>
    </row>
    <row r="19">
      <c r="B19" s="42">
        <f>SUM(B5:B13)</f>
        <v>104</v>
      </c>
      <c r="C19" s="42">
        <f>B19</f>
        <v>104</v>
      </c>
      <c r="D19" s="42">
        <f>C19-SUM(B5:B13)/10</f>
        <v>93.6</v>
      </c>
      <c r="E19" s="42">
        <f>D19-SUM(B5:B13)/10</f>
        <v>83.2</v>
      </c>
      <c r="F19" s="42">
        <f>E19-SUM(B5:B13)/10</f>
        <v>72.8</v>
      </c>
      <c r="G19" s="42">
        <f>F19-SUM(B5:B13)/10</f>
        <v>62.4</v>
      </c>
      <c r="H19" s="42">
        <f>G19-SUM(B5:B13)/10</f>
        <v>52</v>
      </c>
      <c r="I19" s="42">
        <f>H19-SUM(B5:B13)/10</f>
        <v>41.6</v>
      </c>
      <c r="J19" s="42">
        <f>I19-SUM(B5:B13)/10</f>
        <v>31.2</v>
      </c>
      <c r="K19" s="42">
        <f>J19-SUM(B5:B13)/10</f>
        <v>20.8</v>
      </c>
      <c r="L19" s="42">
        <f>K19-SUM(B5:B13)/10</f>
        <v>10.4</v>
      </c>
      <c r="M19" s="42">
        <f>L19-SUM(B5:B13)/10</f>
        <v>0</v>
      </c>
    </row>
    <row r="20">
      <c r="A20" s="39" t="s">
        <v>127</v>
      </c>
      <c r="C20" s="40">
        <f t="shared" ref="C20:L20" si="4">D19</f>
        <v>93.6</v>
      </c>
      <c r="D20" s="40">
        <f t="shared" si="4"/>
        <v>83.2</v>
      </c>
      <c r="E20" s="40">
        <f t="shared" si="4"/>
        <v>72.8</v>
      </c>
      <c r="F20" s="40">
        <f t="shared" si="4"/>
        <v>62.4</v>
      </c>
      <c r="G20" s="40">
        <f t="shared" si="4"/>
        <v>52</v>
      </c>
      <c r="H20" s="40">
        <f t="shared" si="4"/>
        <v>41.6</v>
      </c>
      <c r="I20" s="40">
        <f t="shared" si="4"/>
        <v>31.2</v>
      </c>
      <c r="J20" s="40">
        <f t="shared" si="4"/>
        <v>20.8</v>
      </c>
      <c r="K20" s="40">
        <f t="shared" si="4"/>
        <v>10.4</v>
      </c>
      <c r="L20" s="40">
        <f t="shared" si="4"/>
        <v>0</v>
      </c>
    </row>
    <row r="21" ht="15.75" customHeight="1"/>
    <row r="22" ht="15.75" customHeight="1">
      <c r="A22" s="39" t="s">
        <v>145</v>
      </c>
      <c r="B22" s="40" t="s">
        <v>146</v>
      </c>
      <c r="E22" s="40" t="s">
        <v>147</v>
      </c>
      <c r="J22" s="40" t="s">
        <v>148</v>
      </c>
      <c r="M22" s="40" t="s">
        <v>156</v>
      </c>
    </row>
    <row r="23" ht="15.75" customHeight="1">
      <c r="A23" s="50" t="s">
        <v>150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G3"/>
    <mergeCell ref="H3:L3"/>
    <mergeCell ref="M3:M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0"/>
    <col customWidth="1" min="2" max="2" width="12.0"/>
    <col customWidth="1" min="3" max="13" width="7.0"/>
    <col customWidth="1" min="14" max="26" width="8.71"/>
  </cols>
  <sheetData>
    <row r="1">
      <c r="A1" s="1" t="s">
        <v>177</v>
      </c>
    </row>
    <row r="2">
      <c r="C2" s="51" t="s">
        <v>49</v>
      </c>
      <c r="D2" s="51" t="s">
        <v>50</v>
      </c>
      <c r="E2" s="51" t="s">
        <v>51</v>
      </c>
      <c r="F2" s="51" t="s">
        <v>52</v>
      </c>
      <c r="G2" s="51" t="s">
        <v>53</v>
      </c>
      <c r="H2" s="51" t="s">
        <v>54</v>
      </c>
      <c r="I2" s="51" t="s">
        <v>55</v>
      </c>
      <c r="J2" s="51" t="s">
        <v>56</v>
      </c>
      <c r="K2" s="51" t="s">
        <v>57</v>
      </c>
      <c r="L2" s="51" t="s">
        <v>58</v>
      </c>
    </row>
    <row r="3">
      <c r="A3" s="52" t="s">
        <v>59</v>
      </c>
      <c r="B3" s="52" t="s">
        <v>60</v>
      </c>
      <c r="C3" s="53" t="s">
        <v>138</v>
      </c>
      <c r="D3" s="5"/>
      <c r="E3" s="5"/>
      <c r="F3" s="5"/>
      <c r="G3" s="6"/>
      <c r="H3" s="53" t="s">
        <v>138</v>
      </c>
      <c r="I3" s="5"/>
      <c r="J3" s="5"/>
      <c r="K3" s="5"/>
      <c r="L3" s="6"/>
      <c r="M3" s="52" t="s">
        <v>67</v>
      </c>
    </row>
    <row r="4">
      <c r="A4" s="54"/>
      <c r="B4" s="54"/>
      <c r="C4" s="55">
        <v>1.0</v>
      </c>
      <c r="D4" s="55">
        <v>2.0</v>
      </c>
      <c r="E4" s="55">
        <v>3.0</v>
      </c>
      <c r="F4" s="55">
        <v>4.0</v>
      </c>
      <c r="G4" s="55">
        <v>5.0</v>
      </c>
      <c r="H4" s="55">
        <v>1.0</v>
      </c>
      <c r="I4" s="55">
        <v>2.0</v>
      </c>
      <c r="J4" s="55">
        <v>3.0</v>
      </c>
      <c r="K4" s="55">
        <v>4.0</v>
      </c>
      <c r="L4" s="55">
        <v>5.0</v>
      </c>
      <c r="M4" s="54"/>
    </row>
    <row r="5">
      <c r="A5" s="36" t="s">
        <v>113</v>
      </c>
      <c r="B5" s="37">
        <v>48.0</v>
      </c>
      <c r="C5" s="56">
        <v>5.0</v>
      </c>
      <c r="D5" s="56">
        <v>6.0</v>
      </c>
      <c r="E5" s="56">
        <v>5.0</v>
      </c>
      <c r="F5" s="56">
        <v>5.0</v>
      </c>
      <c r="G5" s="56">
        <v>5.0</v>
      </c>
      <c r="H5" s="56">
        <v>6.0</v>
      </c>
      <c r="I5" s="56">
        <v>5.0</v>
      </c>
      <c r="J5" s="56">
        <v>5.0</v>
      </c>
      <c r="K5" s="56">
        <v>6.0</v>
      </c>
      <c r="L5" s="56">
        <v>0.0</v>
      </c>
      <c r="M5" s="21">
        <f t="shared" ref="M5:M17" si="1">SUM(C5:L5)</f>
        <v>48</v>
      </c>
    </row>
    <row r="6">
      <c r="A6" s="36" t="s">
        <v>178</v>
      </c>
      <c r="B6" s="37">
        <v>16.0</v>
      </c>
      <c r="C6" s="56">
        <v>5.0</v>
      </c>
      <c r="D6" s="56">
        <v>6.0</v>
      </c>
      <c r="E6" s="56">
        <v>5.0</v>
      </c>
      <c r="F6" s="56">
        <v>0.0</v>
      </c>
      <c r="G6" s="56">
        <v>0.0</v>
      </c>
      <c r="H6" s="56">
        <v>0.0</v>
      </c>
      <c r="I6" s="56">
        <v>0.0</v>
      </c>
      <c r="J6" s="56">
        <v>0.0</v>
      </c>
      <c r="K6" s="56">
        <v>0.0</v>
      </c>
      <c r="L6" s="56">
        <v>0.0</v>
      </c>
      <c r="M6" s="21">
        <f t="shared" si="1"/>
        <v>16</v>
      </c>
    </row>
    <row r="7">
      <c r="A7" s="36" t="s">
        <v>179</v>
      </c>
      <c r="B7" s="37">
        <v>14.0</v>
      </c>
      <c r="C7" s="56">
        <v>5.0</v>
      </c>
      <c r="D7" s="56">
        <v>6.0</v>
      </c>
      <c r="E7" s="56">
        <v>3.0</v>
      </c>
      <c r="F7" s="56">
        <v>0.0</v>
      </c>
      <c r="G7" s="56">
        <v>0.0</v>
      </c>
      <c r="H7" s="56">
        <v>0.0</v>
      </c>
      <c r="I7" s="56">
        <v>0.0</v>
      </c>
      <c r="J7" s="56">
        <v>0.0</v>
      </c>
      <c r="K7" s="56">
        <v>0.0</v>
      </c>
      <c r="L7" s="56">
        <v>0.0</v>
      </c>
      <c r="M7" s="21">
        <f t="shared" si="1"/>
        <v>14</v>
      </c>
    </row>
    <row r="8">
      <c r="A8" s="36" t="s">
        <v>116</v>
      </c>
      <c r="B8" s="37">
        <v>12.0</v>
      </c>
      <c r="C8" s="56">
        <v>0.0</v>
      </c>
      <c r="D8" s="56">
        <v>0.0</v>
      </c>
      <c r="E8" s="56">
        <v>0.0</v>
      </c>
      <c r="F8" s="56">
        <v>5.0</v>
      </c>
      <c r="G8" s="56">
        <v>5.0</v>
      </c>
      <c r="H8" s="56">
        <v>2.0</v>
      </c>
      <c r="I8" s="56">
        <v>0.0</v>
      </c>
      <c r="J8" s="56">
        <v>0.0</v>
      </c>
      <c r="K8" s="56">
        <v>0.0</v>
      </c>
      <c r="L8" s="56">
        <v>0.0</v>
      </c>
      <c r="M8" s="21">
        <f t="shared" si="1"/>
        <v>12</v>
      </c>
    </row>
    <row r="9">
      <c r="A9" s="36" t="s">
        <v>117</v>
      </c>
      <c r="B9" s="37">
        <v>14.0</v>
      </c>
      <c r="C9" s="56">
        <v>0.0</v>
      </c>
      <c r="D9" s="56">
        <v>0.0</v>
      </c>
      <c r="E9" s="56">
        <v>0.0</v>
      </c>
      <c r="F9" s="56">
        <v>0.0</v>
      </c>
      <c r="G9" s="56">
        <v>0.0</v>
      </c>
      <c r="H9" s="56">
        <v>4.0</v>
      </c>
      <c r="I9" s="56">
        <v>5.0</v>
      </c>
      <c r="J9" s="56">
        <v>5.0</v>
      </c>
      <c r="K9" s="56">
        <v>0.0</v>
      </c>
      <c r="L9" s="56">
        <v>0.0</v>
      </c>
      <c r="M9" s="21">
        <f t="shared" si="1"/>
        <v>14</v>
      </c>
    </row>
    <row r="10">
      <c r="A10" s="36" t="s">
        <v>118</v>
      </c>
      <c r="B10" s="37">
        <v>15.0</v>
      </c>
      <c r="C10" s="56">
        <v>0.0</v>
      </c>
      <c r="D10" s="56">
        <v>0.0</v>
      </c>
      <c r="E10" s="56">
        <v>2.0</v>
      </c>
      <c r="F10" s="56">
        <v>6.0</v>
      </c>
      <c r="G10" s="56">
        <v>5.0</v>
      </c>
      <c r="H10" s="56">
        <v>2.0</v>
      </c>
      <c r="I10" s="56">
        <v>0.0</v>
      </c>
      <c r="J10" s="56">
        <v>0.0</v>
      </c>
      <c r="K10" s="56">
        <v>0.0</v>
      </c>
      <c r="L10" s="56">
        <v>0.0</v>
      </c>
      <c r="M10" s="21">
        <f t="shared" si="1"/>
        <v>15</v>
      </c>
    </row>
    <row r="11">
      <c r="A11" s="36" t="s">
        <v>180</v>
      </c>
      <c r="B11" s="37">
        <v>11.0</v>
      </c>
      <c r="C11" s="56">
        <v>0.0</v>
      </c>
      <c r="D11" s="56">
        <v>0.0</v>
      </c>
      <c r="E11" s="56">
        <v>0.0</v>
      </c>
      <c r="F11" s="56">
        <v>0.0</v>
      </c>
      <c r="G11" s="56">
        <v>0.0</v>
      </c>
      <c r="H11" s="56">
        <v>0.0</v>
      </c>
      <c r="I11" s="56">
        <v>0.0</v>
      </c>
      <c r="J11" s="56">
        <v>0.0</v>
      </c>
      <c r="K11" s="56">
        <v>6.0</v>
      </c>
      <c r="L11" s="56">
        <v>5.0</v>
      </c>
      <c r="M11" s="21">
        <f t="shared" si="1"/>
        <v>11</v>
      </c>
    </row>
    <row r="12">
      <c r="A12" s="36" t="s">
        <v>120</v>
      </c>
      <c r="B12" s="37">
        <v>14.0</v>
      </c>
      <c r="C12" s="56">
        <v>0.0</v>
      </c>
      <c r="D12" s="56">
        <v>0.0</v>
      </c>
      <c r="E12" s="56">
        <v>0.0</v>
      </c>
      <c r="F12" s="56">
        <v>0.0</v>
      </c>
      <c r="G12" s="56">
        <v>0.0</v>
      </c>
      <c r="H12" s="56">
        <v>3.0</v>
      </c>
      <c r="I12" s="56">
        <v>6.0</v>
      </c>
      <c r="J12" s="56">
        <v>5.0</v>
      </c>
      <c r="K12" s="56">
        <v>0.0</v>
      </c>
      <c r="L12" s="56">
        <v>0.0</v>
      </c>
      <c r="M12" s="21">
        <f t="shared" si="1"/>
        <v>14</v>
      </c>
    </row>
    <row r="13">
      <c r="A13" s="36" t="s">
        <v>121</v>
      </c>
      <c r="B13" s="37">
        <v>5.0</v>
      </c>
      <c r="C13" s="56">
        <v>0.0</v>
      </c>
      <c r="D13" s="56">
        <v>0.0</v>
      </c>
      <c r="E13" s="56">
        <v>0.0</v>
      </c>
      <c r="F13" s="56">
        <v>0.0</v>
      </c>
      <c r="G13" s="56">
        <v>0.0</v>
      </c>
      <c r="H13" s="56">
        <v>0.0</v>
      </c>
      <c r="I13" s="56">
        <v>0.0</v>
      </c>
      <c r="J13" s="56">
        <v>0.0</v>
      </c>
      <c r="K13" s="56">
        <v>0.0</v>
      </c>
      <c r="L13" s="56">
        <v>5.0</v>
      </c>
      <c r="M13" s="21">
        <f t="shared" si="1"/>
        <v>5</v>
      </c>
    </row>
    <row r="14">
      <c r="A14" s="36" t="s">
        <v>181</v>
      </c>
      <c r="B14" s="37">
        <v>5.0</v>
      </c>
      <c r="C14" s="56">
        <v>0.0</v>
      </c>
      <c r="D14" s="56">
        <v>0.0</v>
      </c>
      <c r="E14" s="56">
        <v>0.0</v>
      </c>
      <c r="F14" s="56">
        <v>0.0</v>
      </c>
      <c r="G14" s="56">
        <v>0.0</v>
      </c>
      <c r="H14" s="56">
        <v>0.0</v>
      </c>
      <c r="I14" s="56">
        <v>0.0</v>
      </c>
      <c r="J14" s="56">
        <v>0.0</v>
      </c>
      <c r="K14" s="56">
        <v>5.0</v>
      </c>
      <c r="L14" s="56">
        <v>0.0</v>
      </c>
      <c r="M14" s="21">
        <f t="shared" si="1"/>
        <v>5</v>
      </c>
    </row>
    <row r="15">
      <c r="A15" s="36" t="s">
        <v>182</v>
      </c>
      <c r="B15" s="37">
        <v>6.0</v>
      </c>
      <c r="C15" s="56">
        <v>0.0</v>
      </c>
      <c r="D15" s="56">
        <v>0.0</v>
      </c>
      <c r="E15" s="56">
        <v>0.0</v>
      </c>
      <c r="F15" s="56">
        <v>0.0</v>
      </c>
      <c r="G15" s="56">
        <v>0.0</v>
      </c>
      <c r="H15" s="56">
        <v>0.0</v>
      </c>
      <c r="I15" s="56">
        <v>0.0</v>
      </c>
      <c r="J15" s="56">
        <v>0.0</v>
      </c>
      <c r="K15" s="56">
        <v>1.0</v>
      </c>
      <c r="L15" s="56">
        <v>5.0</v>
      </c>
      <c r="M15" s="21">
        <f t="shared" si="1"/>
        <v>6</v>
      </c>
    </row>
    <row r="16">
      <c r="A16" s="39" t="s">
        <v>124</v>
      </c>
      <c r="B16" s="39">
        <f>SUM(B5:B15)</f>
        <v>160</v>
      </c>
      <c r="M16" s="40">
        <f t="shared" si="1"/>
        <v>0</v>
      </c>
    </row>
    <row r="17">
      <c r="A17" s="39" t="s">
        <v>125</v>
      </c>
      <c r="B17" s="40">
        <f>SUM(C17:L17)</f>
        <v>240</v>
      </c>
      <c r="C17" s="41">
        <v>24.0</v>
      </c>
      <c r="D17" s="41">
        <v>24.0</v>
      </c>
      <c r="E17" s="41">
        <v>24.0</v>
      </c>
      <c r="F17" s="41">
        <v>24.0</v>
      </c>
      <c r="G17" s="41">
        <v>24.0</v>
      </c>
      <c r="H17" s="41">
        <v>24.0</v>
      </c>
      <c r="I17" s="41">
        <v>24.0</v>
      </c>
      <c r="J17" s="41">
        <v>24.0</v>
      </c>
      <c r="K17" s="41">
        <v>24.0</v>
      </c>
      <c r="L17" s="41">
        <v>24.0</v>
      </c>
      <c r="M17" s="40">
        <f t="shared" si="1"/>
        <v>240</v>
      </c>
    </row>
    <row r="19">
      <c r="B19" s="42">
        <f>SUM(B5:B15)</f>
        <v>160</v>
      </c>
      <c r="C19" s="42">
        <f>B19</f>
        <v>160</v>
      </c>
      <c r="D19" s="42">
        <f t="shared" ref="D19:M19" si="2">C19-SUM(C5:C15)</f>
        <v>145</v>
      </c>
      <c r="E19" s="42">
        <f t="shared" si="2"/>
        <v>127</v>
      </c>
      <c r="F19" s="42">
        <f t="shared" si="2"/>
        <v>112</v>
      </c>
      <c r="G19" s="42">
        <f t="shared" si="2"/>
        <v>96</v>
      </c>
      <c r="H19" s="42">
        <f t="shared" si="2"/>
        <v>81</v>
      </c>
      <c r="I19" s="42">
        <f t="shared" si="2"/>
        <v>64</v>
      </c>
      <c r="J19" s="42">
        <f t="shared" si="2"/>
        <v>48</v>
      </c>
      <c r="K19" s="42">
        <f t="shared" si="2"/>
        <v>33</v>
      </c>
      <c r="L19" s="42">
        <f t="shared" si="2"/>
        <v>15</v>
      </c>
      <c r="M19" s="42">
        <f t="shared" si="2"/>
        <v>0</v>
      </c>
    </row>
    <row r="20">
      <c r="A20" s="39" t="s">
        <v>126</v>
      </c>
      <c r="C20" s="40">
        <f t="shared" ref="C20:L20" si="3">D19</f>
        <v>145</v>
      </c>
      <c r="D20" s="40">
        <f t="shared" si="3"/>
        <v>127</v>
      </c>
      <c r="E20" s="40">
        <f t="shared" si="3"/>
        <v>112</v>
      </c>
      <c r="F20" s="40">
        <f t="shared" si="3"/>
        <v>96</v>
      </c>
      <c r="G20" s="40">
        <f t="shared" si="3"/>
        <v>81</v>
      </c>
      <c r="H20" s="40">
        <f t="shared" si="3"/>
        <v>64</v>
      </c>
      <c r="I20" s="40">
        <f t="shared" si="3"/>
        <v>48</v>
      </c>
      <c r="J20" s="40">
        <f t="shared" si="3"/>
        <v>33</v>
      </c>
      <c r="K20" s="40">
        <f t="shared" si="3"/>
        <v>15</v>
      </c>
      <c r="L20" s="40">
        <f t="shared" si="3"/>
        <v>0</v>
      </c>
    </row>
    <row r="21" ht="15.75" customHeight="1">
      <c r="B21" s="42">
        <f>SUM(B5:B15)</f>
        <v>160</v>
      </c>
      <c r="C21" s="42">
        <f>B21</f>
        <v>160</v>
      </c>
      <c r="D21" s="42">
        <f>C21-SUM(B5:B15)/10</f>
        <v>144</v>
      </c>
      <c r="E21" s="42">
        <f>D21-SUM(B5:B15)/10</f>
        <v>128</v>
      </c>
      <c r="F21" s="42">
        <f>E21-SUM(B5:B15)/10</f>
        <v>112</v>
      </c>
      <c r="G21" s="42">
        <f>F21-SUM(B5:B15)/10</f>
        <v>96</v>
      </c>
      <c r="H21" s="42">
        <f>G21-SUM(B5:B15)/10</f>
        <v>80</v>
      </c>
      <c r="I21" s="42">
        <f>H21-SUM(B5:B15)/10</f>
        <v>64</v>
      </c>
      <c r="J21" s="42">
        <f>I21-SUM(B5:B15)/10</f>
        <v>48</v>
      </c>
      <c r="K21" s="42">
        <f>J21-SUM(B5:B15)/10</f>
        <v>32</v>
      </c>
      <c r="L21" s="42">
        <f>K21-SUM(B5:B15)/10</f>
        <v>16</v>
      </c>
      <c r="M21" s="42">
        <f>L21-SUM(B5:B15)/10</f>
        <v>0</v>
      </c>
    </row>
    <row r="22" ht="15.75" customHeight="1">
      <c r="A22" s="39" t="s">
        <v>127</v>
      </c>
      <c r="C22" s="40">
        <f t="shared" ref="C22:L22" si="4">D21</f>
        <v>144</v>
      </c>
      <c r="D22" s="40">
        <f t="shared" si="4"/>
        <v>128</v>
      </c>
      <c r="E22" s="40">
        <f t="shared" si="4"/>
        <v>112</v>
      </c>
      <c r="F22" s="40">
        <f t="shared" si="4"/>
        <v>96</v>
      </c>
      <c r="G22" s="40">
        <f t="shared" si="4"/>
        <v>80</v>
      </c>
      <c r="H22" s="40">
        <f t="shared" si="4"/>
        <v>64</v>
      </c>
      <c r="I22" s="40">
        <f t="shared" si="4"/>
        <v>48</v>
      </c>
      <c r="J22" s="40">
        <f t="shared" si="4"/>
        <v>32</v>
      </c>
      <c r="K22" s="40">
        <f t="shared" si="4"/>
        <v>16</v>
      </c>
      <c r="L22" s="40">
        <f t="shared" si="4"/>
        <v>0</v>
      </c>
    </row>
    <row r="23" ht="15.75" customHeight="1"/>
    <row r="24" ht="15.75" customHeight="1">
      <c r="A24" s="39" t="s">
        <v>145</v>
      </c>
      <c r="B24" s="40" t="s">
        <v>146</v>
      </c>
      <c r="E24" s="40" t="s">
        <v>147</v>
      </c>
      <c r="J24" s="40" t="s">
        <v>148</v>
      </c>
      <c r="M24" s="40" t="s">
        <v>156</v>
      </c>
    </row>
    <row r="25" ht="15.75" customHeight="1">
      <c r="A25" s="50" t="s">
        <v>150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G3"/>
    <mergeCell ref="H3:L3"/>
    <mergeCell ref="M3:M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2026-10-08T16:13:31Z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